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mamoto02\OneDrive - 北九州市立大学\デスクトップ\"/>
    </mc:Choice>
  </mc:AlternateContent>
  <xr:revisionPtr revIDLastSave="0" documentId="8_{01F4D619-C4C5-401C-9DAB-C61E5248E8C6}" xr6:coauthVersionLast="47" xr6:coauthVersionMax="47" xr10:uidLastSave="{00000000-0000-0000-0000-000000000000}"/>
  <bookViews>
    <workbookView xWindow="0" yWindow="825" windowWidth="28800" windowHeight="17175" xr2:uid="{FCCE0312-9F00-4531-8FAE-DA72F6A5CF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49" i="1" l="1"/>
  <c r="H548" i="1"/>
  <c r="H547" i="1"/>
  <c r="H546" i="1"/>
  <c r="H545" i="1"/>
  <c r="H544" i="1"/>
  <c r="H543" i="1"/>
  <c r="E543" i="1"/>
  <c r="C543" i="1"/>
  <c r="E542" i="1"/>
  <c r="H542" i="1" s="1"/>
  <c r="C542" i="1"/>
  <c r="E541" i="1"/>
  <c r="H541" i="1" s="1"/>
  <c r="C541" i="1"/>
  <c r="H540" i="1"/>
  <c r="H539" i="1"/>
  <c r="H538" i="1"/>
  <c r="H537" i="1"/>
  <c r="H536" i="1"/>
  <c r="C536" i="1"/>
  <c r="H535" i="1"/>
  <c r="H534" i="1"/>
  <c r="L533" i="1"/>
  <c r="L532" i="1"/>
  <c r="F531" i="1"/>
  <c r="H531" i="1" s="1"/>
  <c r="E531" i="1"/>
  <c r="H530" i="1"/>
  <c r="H529" i="1"/>
  <c r="H528" i="1"/>
  <c r="L527" i="1"/>
  <c r="F527" i="1"/>
  <c r="H527" i="1" s="1"/>
  <c r="L526" i="1"/>
  <c r="H526" i="1"/>
  <c r="L525" i="1"/>
  <c r="H525" i="1"/>
  <c r="L524" i="1"/>
  <c r="H524" i="1"/>
  <c r="L523" i="1"/>
  <c r="H523" i="1"/>
  <c r="L522" i="1"/>
  <c r="H522" i="1"/>
  <c r="L521" i="1"/>
  <c r="H521" i="1"/>
  <c r="L520" i="1"/>
  <c r="H520" i="1"/>
  <c r="E519" i="1"/>
  <c r="H519" i="1" s="1"/>
  <c r="C519" i="1"/>
  <c r="E518" i="1"/>
  <c r="H518" i="1" s="1"/>
  <c r="C518" i="1"/>
  <c r="H517" i="1"/>
  <c r="H516" i="1"/>
  <c r="H515" i="1"/>
  <c r="H514" i="1"/>
  <c r="H513" i="1"/>
  <c r="H512" i="1"/>
  <c r="H511" i="1"/>
  <c r="H510" i="1"/>
  <c r="H509" i="1"/>
  <c r="C509" i="1"/>
  <c r="H508" i="1"/>
  <c r="H507" i="1"/>
  <c r="H506" i="1"/>
  <c r="H505" i="1"/>
  <c r="H504" i="1"/>
  <c r="H503" i="1"/>
  <c r="L502" i="1"/>
  <c r="H502" i="1"/>
  <c r="L501" i="1"/>
  <c r="H501" i="1"/>
  <c r="L500" i="1"/>
  <c r="H500" i="1"/>
  <c r="H499" i="1"/>
  <c r="K495" i="1"/>
  <c r="K419" i="1"/>
  <c r="F406" i="1"/>
  <c r="F403" i="1"/>
  <c r="L401" i="1"/>
  <c r="K397" i="1"/>
  <c r="K396" i="1"/>
  <c r="F395" i="1"/>
  <c r="L394" i="1"/>
  <c r="L393" i="1"/>
  <c r="F393" i="1"/>
  <c r="L392" i="1"/>
  <c r="F392" i="1"/>
  <c r="L391" i="1"/>
  <c r="F391" i="1"/>
  <c r="L390" i="1"/>
  <c r="F390" i="1"/>
  <c r="L374" i="1"/>
  <c r="L373" i="1"/>
  <c r="E373" i="1"/>
  <c r="L372" i="1"/>
  <c r="E372" i="1"/>
  <c r="L371" i="1"/>
  <c r="L370" i="1"/>
  <c r="L369" i="1"/>
  <c r="L368" i="1"/>
  <c r="L367" i="1"/>
  <c r="K366" i="1"/>
  <c r="K365" i="1"/>
  <c r="E365" i="1"/>
  <c r="K364" i="1"/>
  <c r="E364" i="1"/>
  <c r="K362" i="1"/>
  <c r="E362" i="1"/>
  <c r="F361" i="1"/>
  <c r="E361" i="1"/>
  <c r="K360" i="1"/>
  <c r="F360" i="1"/>
  <c r="E360" i="1"/>
  <c r="L353" i="1"/>
  <c r="L352" i="1"/>
  <c r="K351" i="1"/>
  <c r="E351" i="1"/>
  <c r="K350" i="1"/>
  <c r="E350" i="1"/>
  <c r="K349" i="1"/>
  <c r="E349" i="1"/>
  <c r="K348" i="1"/>
  <c r="E348" i="1"/>
  <c r="K347" i="1"/>
  <c r="E347" i="1"/>
  <c r="K346" i="1"/>
  <c r="E346" i="1"/>
  <c r="K345" i="1"/>
  <c r="E345" i="1"/>
  <c r="K344" i="1"/>
  <c r="E344" i="1"/>
  <c r="K343" i="1"/>
  <c r="E343" i="1"/>
  <c r="K342" i="1"/>
  <c r="E342" i="1"/>
  <c r="K341" i="1"/>
  <c r="E341" i="1"/>
  <c r="K340" i="1"/>
  <c r="E340" i="1"/>
  <c r="D339" i="1"/>
  <c r="D337" i="1"/>
  <c r="D336" i="1"/>
  <c r="K335" i="1"/>
  <c r="K334" i="1"/>
  <c r="F334" i="1"/>
  <c r="E334" i="1"/>
  <c r="L333" i="1"/>
  <c r="L332" i="1"/>
  <c r="K332" i="1"/>
  <c r="L331" i="1"/>
  <c r="E331" i="1"/>
  <c r="L330" i="1"/>
  <c r="G330" i="1"/>
  <c r="F330" i="1"/>
  <c r="L329" i="1"/>
  <c r="G329" i="1"/>
  <c r="F329" i="1"/>
  <c r="L328" i="1"/>
  <c r="G328" i="1"/>
  <c r="F328" i="1"/>
  <c r="L327" i="1"/>
  <c r="G327" i="1"/>
  <c r="F327" i="1"/>
  <c r="G326" i="1"/>
  <c r="E326" i="1"/>
  <c r="L325" i="1"/>
  <c r="G325" i="1"/>
  <c r="E325" i="1"/>
  <c r="L324" i="1"/>
  <c r="G324" i="1"/>
  <c r="E324" i="1"/>
  <c r="L323" i="1"/>
  <c r="G323" i="1"/>
  <c r="E323" i="1"/>
  <c r="L322" i="1"/>
  <c r="L321" i="1"/>
  <c r="G321" i="1"/>
  <c r="E321" i="1"/>
  <c r="L320" i="1"/>
  <c r="L319" i="1"/>
  <c r="G318" i="1"/>
  <c r="E318" i="1"/>
  <c r="L317" i="1"/>
  <c r="L316" i="1"/>
  <c r="L315" i="1"/>
  <c r="L314" i="1"/>
  <c r="E314" i="1"/>
  <c r="L313" i="1"/>
  <c r="E313" i="1"/>
  <c r="L312" i="1"/>
  <c r="L311" i="1"/>
  <c r="F311" i="1"/>
  <c r="E311" i="1"/>
  <c r="L310" i="1"/>
  <c r="F310" i="1"/>
  <c r="E310" i="1"/>
  <c r="L309" i="1"/>
  <c r="F309" i="1"/>
  <c r="E309" i="1"/>
  <c r="L308" i="1"/>
  <c r="F308" i="1"/>
  <c r="E308" i="1"/>
  <c r="L306" i="1"/>
  <c r="C305" i="1"/>
  <c r="C304" i="1"/>
  <c r="L303" i="1"/>
  <c r="C303" i="1"/>
  <c r="C302" i="1"/>
  <c r="C301" i="1"/>
  <c r="C300" i="1"/>
  <c r="C299" i="1"/>
  <c r="C298" i="1"/>
  <c r="C297" i="1"/>
  <c r="L296" i="1"/>
  <c r="C296" i="1"/>
  <c r="L295" i="1"/>
  <c r="C295" i="1"/>
  <c r="L294" i="1"/>
  <c r="L285" i="1"/>
  <c r="F285" i="1"/>
  <c r="L284" i="1"/>
  <c r="F284" i="1"/>
  <c r="L283" i="1"/>
  <c r="F283" i="1"/>
  <c r="K268" i="1"/>
  <c r="K267" i="1"/>
  <c r="K265" i="1"/>
  <c r="K264" i="1"/>
  <c r="C239" i="1"/>
  <c r="C238" i="1"/>
  <c r="F234" i="1"/>
  <c r="F233" i="1"/>
  <c r="C230" i="1"/>
  <c r="C229" i="1"/>
  <c r="C228" i="1"/>
  <c r="C227" i="1"/>
  <c r="C226" i="1"/>
  <c r="C225" i="1"/>
  <c r="C224" i="1"/>
  <c r="C223" i="1"/>
  <c r="C222" i="1"/>
  <c r="C219" i="1"/>
  <c r="C218" i="1"/>
  <c r="C217" i="1"/>
  <c r="C215" i="1"/>
  <c r="C214" i="1"/>
  <c r="C213" i="1"/>
  <c r="C212" i="1"/>
  <c r="C211" i="1"/>
  <c r="C204" i="1"/>
  <c r="C203" i="1"/>
  <c r="C202" i="1"/>
  <c r="C201" i="1"/>
  <c r="C200" i="1"/>
  <c r="C199" i="1"/>
  <c r="E198" i="1"/>
  <c r="C198" i="1"/>
  <c r="C197" i="1"/>
  <c r="E196" i="1"/>
  <c r="C196" i="1"/>
  <c r="C195" i="1"/>
  <c r="C194" i="1"/>
  <c r="C192" i="1"/>
  <c r="E134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12" i="1"/>
  <c r="L10" i="1"/>
  <c r="L9" i="1"/>
  <c r="L7" i="1"/>
  <c r="L6" i="1"/>
  <c r="L3" i="1"/>
  <c r="L2" i="1"/>
</calcChain>
</file>

<file path=xl/sharedStrings.xml><?xml version="1.0" encoding="utf-8"?>
<sst xmlns="http://schemas.openxmlformats.org/spreadsheetml/2006/main" count="1452" uniqueCount="932">
  <si>
    <t>sample</t>
    <phoneticPr fontId="1"/>
  </si>
  <si>
    <t>Si</t>
    <phoneticPr fontId="1"/>
  </si>
  <si>
    <t>Al2O3</t>
    <phoneticPr fontId="1"/>
  </si>
  <si>
    <t>H2O</t>
    <phoneticPr fontId="1"/>
  </si>
  <si>
    <t>NaOH</t>
    <phoneticPr fontId="1"/>
  </si>
  <si>
    <t>KOH</t>
    <phoneticPr fontId="1"/>
  </si>
  <si>
    <t>温度[℃]</t>
    <rPh sb="0" eb="2">
      <t>オンド</t>
    </rPh>
    <phoneticPr fontId="1"/>
  </si>
  <si>
    <t>時間[h]</t>
    <rPh sb="0" eb="2">
      <t>ジカン</t>
    </rPh>
    <phoneticPr fontId="1"/>
  </si>
  <si>
    <t>phase</t>
    <phoneticPr fontId="1"/>
  </si>
  <si>
    <t>title</t>
    <phoneticPr fontId="1"/>
  </si>
  <si>
    <t>author</t>
    <phoneticPr fontId="1"/>
  </si>
  <si>
    <t>雑誌、年月日</t>
    <rPh sb="0" eb="2">
      <t>ザッシ</t>
    </rPh>
    <rPh sb="3" eb="6">
      <t>ネンガッピ</t>
    </rPh>
    <phoneticPr fontId="1"/>
  </si>
  <si>
    <t>試料1</t>
    <rPh sb="0" eb="2">
      <t>シリョウ</t>
    </rPh>
    <phoneticPr fontId="1"/>
  </si>
  <si>
    <t>LTA</t>
    <phoneticPr fontId="1"/>
  </si>
  <si>
    <t>Tailoring the physicochemical properties of zeolite catalysts</t>
    <phoneticPr fontId="1"/>
  </si>
  <si>
    <t>J. D. Rimer, M.Kumar, R.Li, A. I. Lupulescu, M.D. Oleksiak</t>
    <phoneticPr fontId="1"/>
  </si>
  <si>
    <t>Catalysis Science Technology. Issue11, 2014</t>
    <phoneticPr fontId="1"/>
  </si>
  <si>
    <t>試料2</t>
    <rPh sb="0" eb="2">
      <t>シリョウ</t>
    </rPh>
    <phoneticPr fontId="1"/>
  </si>
  <si>
    <t>FAU</t>
    <phoneticPr fontId="1"/>
  </si>
  <si>
    <t>試料3</t>
    <rPh sb="0" eb="2">
      <t>シリョウ</t>
    </rPh>
    <phoneticPr fontId="1"/>
  </si>
  <si>
    <t>SOD</t>
    <phoneticPr fontId="1"/>
  </si>
  <si>
    <t>試料4</t>
    <rPh sb="0" eb="2">
      <t>シリョウ</t>
    </rPh>
    <phoneticPr fontId="1"/>
  </si>
  <si>
    <t>GIS</t>
    <phoneticPr fontId="1"/>
  </si>
  <si>
    <t>試料5</t>
    <rPh sb="0" eb="2">
      <t>シリョウ</t>
    </rPh>
    <phoneticPr fontId="1"/>
  </si>
  <si>
    <t>MOR</t>
    <phoneticPr fontId="1"/>
  </si>
  <si>
    <t>試料6</t>
    <rPh sb="0" eb="2">
      <t>シリョウ</t>
    </rPh>
    <phoneticPr fontId="1"/>
  </si>
  <si>
    <t>MER</t>
    <phoneticPr fontId="1"/>
  </si>
  <si>
    <t>試料7</t>
    <rPh sb="0" eb="2">
      <t>シリョウ</t>
    </rPh>
    <phoneticPr fontId="1"/>
  </si>
  <si>
    <t>LTL</t>
    <phoneticPr fontId="1"/>
  </si>
  <si>
    <t>試料8</t>
    <rPh sb="0" eb="2">
      <t>シリョウ</t>
    </rPh>
    <phoneticPr fontId="1"/>
  </si>
  <si>
    <t>CAN</t>
    <phoneticPr fontId="1"/>
  </si>
  <si>
    <t>試料9</t>
    <rPh sb="0" eb="2">
      <t>シリョウ</t>
    </rPh>
    <phoneticPr fontId="1"/>
  </si>
  <si>
    <t>ANA</t>
    <phoneticPr fontId="1"/>
  </si>
  <si>
    <t>試料10</t>
    <rPh sb="0" eb="2">
      <t>シリョウ</t>
    </rPh>
    <phoneticPr fontId="1"/>
  </si>
  <si>
    <t>MFI</t>
    <phoneticPr fontId="1"/>
  </si>
  <si>
    <t>試料11</t>
    <rPh sb="0" eb="2">
      <t>シリョウ</t>
    </rPh>
    <phoneticPr fontId="1"/>
  </si>
  <si>
    <t>JBW</t>
    <phoneticPr fontId="1"/>
  </si>
  <si>
    <t>試料12</t>
    <rPh sb="0" eb="2">
      <t>シリョウ</t>
    </rPh>
    <phoneticPr fontId="1"/>
  </si>
  <si>
    <t>Controlling Crystal Polymorphism in Organic-Free Synthesis of Na-Zeolites</t>
    <phoneticPr fontId="1"/>
  </si>
  <si>
    <t>Miguel Maldonado, Matthew D. Oleksiak, Sivadinarayana Chinta, Jeffret D. Rimer</t>
    <phoneticPr fontId="1"/>
  </si>
  <si>
    <t>J. Am. Chem. Soc.  135,2641-2652(2013)</t>
    <phoneticPr fontId="1"/>
  </si>
  <si>
    <t>試料13</t>
    <rPh sb="0" eb="2">
      <t>シリョウ</t>
    </rPh>
    <phoneticPr fontId="1"/>
  </si>
  <si>
    <t>試料14</t>
    <rPh sb="0" eb="2">
      <t>シリョウ</t>
    </rPh>
    <phoneticPr fontId="1"/>
  </si>
  <si>
    <t>試料15</t>
    <rPh sb="0" eb="2">
      <t>シリョウ</t>
    </rPh>
    <phoneticPr fontId="1"/>
  </si>
  <si>
    <t>試料16</t>
    <rPh sb="0" eb="2">
      <t>シリョウ</t>
    </rPh>
    <phoneticPr fontId="1"/>
  </si>
  <si>
    <t>試料17</t>
    <rPh sb="0" eb="2">
      <t>シリョウ</t>
    </rPh>
    <phoneticPr fontId="1"/>
  </si>
  <si>
    <t>試料18</t>
    <rPh sb="0" eb="2">
      <t>シリョウ</t>
    </rPh>
    <phoneticPr fontId="1"/>
  </si>
  <si>
    <t>試料19</t>
    <rPh sb="0" eb="2">
      <t>シリョウ</t>
    </rPh>
    <phoneticPr fontId="1"/>
  </si>
  <si>
    <t>試料20</t>
    <rPh sb="0" eb="2">
      <t>シリョウ</t>
    </rPh>
    <phoneticPr fontId="1"/>
  </si>
  <si>
    <t>試料21</t>
    <rPh sb="0" eb="2">
      <t>シリョウ</t>
    </rPh>
    <phoneticPr fontId="1"/>
  </si>
  <si>
    <t>試料22</t>
    <rPh sb="0" eb="2">
      <t>シリョウ</t>
    </rPh>
    <phoneticPr fontId="1"/>
  </si>
  <si>
    <t>試料23</t>
    <rPh sb="0" eb="2">
      <t>シリョウ</t>
    </rPh>
    <phoneticPr fontId="1"/>
  </si>
  <si>
    <t>試料24</t>
    <rPh sb="0" eb="2">
      <t>シリョウ</t>
    </rPh>
    <phoneticPr fontId="1"/>
  </si>
  <si>
    <t>試料25</t>
    <rPh sb="0" eb="2">
      <t>シリョウ</t>
    </rPh>
    <phoneticPr fontId="1"/>
  </si>
  <si>
    <t>試料26</t>
    <rPh sb="0" eb="2">
      <t>シリョウ</t>
    </rPh>
    <phoneticPr fontId="1"/>
  </si>
  <si>
    <t>試料27</t>
    <rPh sb="0" eb="2">
      <t>シリョウ</t>
    </rPh>
    <phoneticPr fontId="1"/>
  </si>
  <si>
    <t>試料28</t>
    <rPh sb="0" eb="2">
      <t>シリョウ</t>
    </rPh>
    <phoneticPr fontId="1"/>
  </si>
  <si>
    <t>試料29</t>
    <rPh sb="0" eb="2">
      <t>シリョウ</t>
    </rPh>
    <phoneticPr fontId="1"/>
  </si>
  <si>
    <t>試料30</t>
    <rPh sb="0" eb="2">
      <t>シリョウ</t>
    </rPh>
    <phoneticPr fontId="1"/>
  </si>
  <si>
    <t>試料31</t>
    <rPh sb="0" eb="2">
      <t>シリョウ</t>
    </rPh>
    <phoneticPr fontId="1"/>
  </si>
  <si>
    <t>試料32</t>
    <rPh sb="0" eb="2">
      <t>シリョウ</t>
    </rPh>
    <phoneticPr fontId="1"/>
  </si>
  <si>
    <t>試料33</t>
    <rPh sb="0" eb="2">
      <t>シリョウ</t>
    </rPh>
    <phoneticPr fontId="1"/>
  </si>
  <si>
    <t>試料34</t>
    <rPh sb="0" eb="2">
      <t>シリョウ</t>
    </rPh>
    <phoneticPr fontId="1"/>
  </si>
  <si>
    <t>試料35</t>
    <rPh sb="0" eb="2">
      <t>シリョウ</t>
    </rPh>
    <phoneticPr fontId="1"/>
  </si>
  <si>
    <t>試料36</t>
    <rPh sb="0" eb="2">
      <t>シリョウ</t>
    </rPh>
    <phoneticPr fontId="1"/>
  </si>
  <si>
    <t>試料37</t>
    <rPh sb="0" eb="2">
      <t>シリョウ</t>
    </rPh>
    <phoneticPr fontId="1"/>
  </si>
  <si>
    <t>試料38</t>
    <rPh sb="0" eb="2">
      <t>シリョウ</t>
    </rPh>
    <phoneticPr fontId="1"/>
  </si>
  <si>
    <t>試料39</t>
    <rPh sb="0" eb="2">
      <t>シリョウ</t>
    </rPh>
    <phoneticPr fontId="1"/>
  </si>
  <si>
    <t>試料40</t>
    <rPh sb="0" eb="2">
      <t>シリョウ</t>
    </rPh>
    <phoneticPr fontId="1"/>
  </si>
  <si>
    <t>試料41</t>
    <rPh sb="0" eb="2">
      <t>シリョウ</t>
    </rPh>
    <phoneticPr fontId="1"/>
  </si>
  <si>
    <t>試料42</t>
    <rPh sb="0" eb="2">
      <t>シリョウ</t>
    </rPh>
    <phoneticPr fontId="1"/>
  </si>
  <si>
    <t>試料43</t>
    <rPh sb="0" eb="2">
      <t>シリョウ</t>
    </rPh>
    <phoneticPr fontId="1"/>
  </si>
  <si>
    <t>試料44</t>
    <rPh sb="0" eb="2">
      <t>シリョウ</t>
    </rPh>
    <phoneticPr fontId="1"/>
  </si>
  <si>
    <t>試料45</t>
    <rPh sb="0" eb="2">
      <t>シリョウ</t>
    </rPh>
    <phoneticPr fontId="1"/>
  </si>
  <si>
    <t>試料46</t>
    <rPh sb="0" eb="2">
      <t>シリョウ</t>
    </rPh>
    <phoneticPr fontId="1"/>
  </si>
  <si>
    <t>試料47</t>
    <rPh sb="0" eb="2">
      <t>シリョウ</t>
    </rPh>
    <phoneticPr fontId="1"/>
  </si>
  <si>
    <t>試料48</t>
    <rPh sb="0" eb="2">
      <t>シリョウ</t>
    </rPh>
    <phoneticPr fontId="1"/>
  </si>
  <si>
    <t>試料49</t>
    <rPh sb="0" eb="2">
      <t>シリョウ</t>
    </rPh>
    <phoneticPr fontId="1"/>
  </si>
  <si>
    <t>試料50</t>
    <rPh sb="0" eb="2">
      <t>シリョウ</t>
    </rPh>
    <phoneticPr fontId="1"/>
  </si>
  <si>
    <t>試料51</t>
    <rPh sb="0" eb="2">
      <t>シリョウ</t>
    </rPh>
    <phoneticPr fontId="1"/>
  </si>
  <si>
    <t>試料52</t>
    <rPh sb="0" eb="2">
      <t>シリョウ</t>
    </rPh>
    <phoneticPr fontId="1"/>
  </si>
  <si>
    <t>試料53</t>
    <rPh sb="0" eb="2">
      <t>シリョウ</t>
    </rPh>
    <phoneticPr fontId="1"/>
  </si>
  <si>
    <t>試料54</t>
    <rPh sb="0" eb="2">
      <t>シリョウ</t>
    </rPh>
    <phoneticPr fontId="1"/>
  </si>
  <si>
    <t>試料55</t>
    <rPh sb="0" eb="2">
      <t>シリョウ</t>
    </rPh>
    <phoneticPr fontId="1"/>
  </si>
  <si>
    <t>試料56</t>
    <rPh sb="0" eb="2">
      <t>シリョウ</t>
    </rPh>
    <phoneticPr fontId="1"/>
  </si>
  <si>
    <t>試料57</t>
    <rPh sb="0" eb="2">
      <t>シリョウ</t>
    </rPh>
    <phoneticPr fontId="1"/>
  </si>
  <si>
    <t>試料58</t>
    <rPh sb="0" eb="2">
      <t>シリョウ</t>
    </rPh>
    <phoneticPr fontId="1"/>
  </si>
  <si>
    <t>試料59</t>
    <rPh sb="0" eb="2">
      <t>シリョウ</t>
    </rPh>
    <phoneticPr fontId="1"/>
  </si>
  <si>
    <t>試料60</t>
    <rPh sb="0" eb="2">
      <t>シリョウ</t>
    </rPh>
    <phoneticPr fontId="1"/>
  </si>
  <si>
    <t>試料61</t>
    <rPh sb="0" eb="2">
      <t>シリョウ</t>
    </rPh>
    <phoneticPr fontId="1"/>
  </si>
  <si>
    <t>試料62</t>
    <rPh sb="0" eb="2">
      <t>シリョウ</t>
    </rPh>
    <phoneticPr fontId="1"/>
  </si>
  <si>
    <t>試料63</t>
    <rPh sb="0" eb="2">
      <t>シリョウ</t>
    </rPh>
    <phoneticPr fontId="1"/>
  </si>
  <si>
    <t>試料64</t>
    <rPh sb="0" eb="2">
      <t>シリョウ</t>
    </rPh>
    <phoneticPr fontId="1"/>
  </si>
  <si>
    <t>試料65</t>
    <rPh sb="0" eb="2">
      <t>シリョウ</t>
    </rPh>
    <phoneticPr fontId="1"/>
  </si>
  <si>
    <t>試料66</t>
    <rPh sb="0" eb="2">
      <t>シリョウ</t>
    </rPh>
    <phoneticPr fontId="1"/>
  </si>
  <si>
    <t>試料67</t>
    <rPh sb="0" eb="2">
      <t>シリョウ</t>
    </rPh>
    <phoneticPr fontId="1"/>
  </si>
  <si>
    <t>試料68</t>
    <rPh sb="0" eb="2">
      <t>シリョウ</t>
    </rPh>
    <phoneticPr fontId="1"/>
  </si>
  <si>
    <t>試料69</t>
    <rPh sb="0" eb="2">
      <t>シリョウ</t>
    </rPh>
    <phoneticPr fontId="1"/>
  </si>
  <si>
    <t>試料70</t>
    <rPh sb="0" eb="2">
      <t>シリョウ</t>
    </rPh>
    <phoneticPr fontId="1"/>
  </si>
  <si>
    <t>試料71</t>
    <rPh sb="0" eb="2">
      <t>シリョウ</t>
    </rPh>
    <phoneticPr fontId="1"/>
  </si>
  <si>
    <t>試料72</t>
    <rPh sb="0" eb="2">
      <t>シリョウ</t>
    </rPh>
    <phoneticPr fontId="1"/>
  </si>
  <si>
    <t>試料73</t>
    <rPh sb="0" eb="2">
      <t>シリョウ</t>
    </rPh>
    <phoneticPr fontId="1"/>
  </si>
  <si>
    <t>試料74</t>
    <rPh sb="0" eb="2">
      <t>シリョウ</t>
    </rPh>
    <phoneticPr fontId="1"/>
  </si>
  <si>
    <t>BPH</t>
    <phoneticPr fontId="1"/>
  </si>
  <si>
    <t xml:space="preserve">The synthesis and properties of synthetic zeolite Linde Q </t>
    <phoneticPr fontId="1"/>
  </si>
  <si>
    <t>K.J. Andries, B. De Wit, P. J. Grobet, H.J. Bosmans</t>
    <phoneticPr fontId="1"/>
  </si>
  <si>
    <t>Zeolits, 11, 116-123(1991)</t>
    <phoneticPr fontId="1"/>
  </si>
  <si>
    <t>試料75</t>
    <rPh sb="0" eb="2">
      <t>シリョウ</t>
    </rPh>
    <phoneticPr fontId="1"/>
  </si>
  <si>
    <t>試料76</t>
    <rPh sb="0" eb="2">
      <t>シリョウ</t>
    </rPh>
    <phoneticPr fontId="1"/>
  </si>
  <si>
    <t>試料77</t>
    <rPh sb="0" eb="2">
      <t>シリョウ</t>
    </rPh>
    <phoneticPr fontId="1"/>
  </si>
  <si>
    <t>試料78</t>
    <rPh sb="0" eb="2">
      <t>シリョウ</t>
    </rPh>
    <phoneticPr fontId="1"/>
  </si>
  <si>
    <t>Hierarchical K/LTL zeolites: Synthesis by alkali treatment, characterization and catalytic performance in Knoevenagel
condensation reaction
characterization and catalytic performance in Knoevenagel
condensation reaction</t>
    <phoneticPr fontId="1"/>
  </si>
  <si>
    <t>Nilesh P. Tanagale, Shilpa K, Sonar, Prashant S. Niphadkar、Praphulla N. Joshi</t>
    <phoneticPr fontId="1"/>
  </si>
  <si>
    <t>Jouranal of Industrial and Engineering Chemistry, 40, 128-136(2016)</t>
    <phoneticPr fontId="1"/>
  </si>
  <si>
    <t>試料79</t>
    <rPh sb="0" eb="2">
      <t>シリョウ</t>
    </rPh>
    <phoneticPr fontId="1"/>
  </si>
  <si>
    <t>Synthesis of zeolite L membranes with sub-micron to micron thicknesses</t>
    <phoneticPr fontId="1"/>
  </si>
  <si>
    <t>Jeremy White, Prabir K. Dutta, Krenar Shqau, Henk Verweij</t>
    <phoneticPr fontId="1"/>
  </si>
  <si>
    <t>Microporous and Mesoporous Materials, 115, 389-398(2008)</t>
    <phoneticPr fontId="1"/>
  </si>
  <si>
    <t>試料80</t>
    <rPh sb="0" eb="2">
      <t>シリョウ</t>
    </rPh>
    <phoneticPr fontId="1"/>
  </si>
  <si>
    <t>CHA</t>
    <phoneticPr fontId="1"/>
  </si>
  <si>
    <t>Crystallization of potassium-zeolites in organic-free media</t>
    <phoneticPr fontId="1"/>
  </si>
  <si>
    <t>Aseem Chawla, Adam, J. Mallette, Rishabh Jain, Nam Le, Francisco, C. Robles Hernandez, Jeffrey D. Rimer</t>
    <phoneticPr fontId="1"/>
  </si>
  <si>
    <t>Microporous and Mesoporous Materials, 341, 112026(2022)</t>
    <phoneticPr fontId="1"/>
  </si>
  <si>
    <t>試料81</t>
    <rPh sb="0" eb="2">
      <t>シリョウ</t>
    </rPh>
    <phoneticPr fontId="1"/>
  </si>
  <si>
    <t>試料82</t>
    <rPh sb="0" eb="2">
      <t>シリョウ</t>
    </rPh>
    <phoneticPr fontId="1"/>
  </si>
  <si>
    <t>試料83</t>
    <rPh sb="0" eb="2">
      <t>シリョウ</t>
    </rPh>
    <phoneticPr fontId="1"/>
  </si>
  <si>
    <t>試料84</t>
    <rPh sb="0" eb="2">
      <t>シリョウ</t>
    </rPh>
    <phoneticPr fontId="1"/>
  </si>
  <si>
    <t>試料85</t>
    <rPh sb="0" eb="2">
      <t>シリョウ</t>
    </rPh>
    <phoneticPr fontId="1"/>
  </si>
  <si>
    <t>試料86</t>
    <rPh sb="0" eb="2">
      <t>シリョウ</t>
    </rPh>
    <phoneticPr fontId="1"/>
  </si>
  <si>
    <t>試料87</t>
    <rPh sb="0" eb="2">
      <t>シリョウ</t>
    </rPh>
    <phoneticPr fontId="1"/>
  </si>
  <si>
    <t>試料88</t>
    <rPh sb="0" eb="2">
      <t>シリョウ</t>
    </rPh>
    <phoneticPr fontId="1"/>
  </si>
  <si>
    <t>試料89</t>
    <rPh sb="0" eb="2">
      <t>シリョウ</t>
    </rPh>
    <phoneticPr fontId="1"/>
  </si>
  <si>
    <t>試料90</t>
    <rPh sb="0" eb="2">
      <t>シリョウ</t>
    </rPh>
    <phoneticPr fontId="1"/>
  </si>
  <si>
    <t>試料91</t>
    <rPh sb="0" eb="2">
      <t>シリョウ</t>
    </rPh>
    <phoneticPr fontId="1"/>
  </si>
  <si>
    <t>EDI</t>
    <phoneticPr fontId="1"/>
  </si>
  <si>
    <t>試料92</t>
    <rPh sb="0" eb="2">
      <t>シリョウ</t>
    </rPh>
    <phoneticPr fontId="1"/>
  </si>
  <si>
    <t>試料93</t>
    <rPh sb="0" eb="2">
      <t>シリョウ</t>
    </rPh>
    <phoneticPr fontId="1"/>
  </si>
  <si>
    <t>試料94</t>
    <rPh sb="0" eb="2">
      <t>シリョウ</t>
    </rPh>
    <phoneticPr fontId="1"/>
  </si>
  <si>
    <t>試料95</t>
    <rPh sb="0" eb="2">
      <t>シリョウ</t>
    </rPh>
    <phoneticPr fontId="1"/>
  </si>
  <si>
    <t>試料96</t>
    <rPh sb="0" eb="2">
      <t>シリョウ</t>
    </rPh>
    <phoneticPr fontId="1"/>
  </si>
  <si>
    <t>試料97</t>
    <rPh sb="0" eb="2">
      <t>シリョウ</t>
    </rPh>
    <phoneticPr fontId="1"/>
  </si>
  <si>
    <t>試料98</t>
    <rPh sb="0" eb="2">
      <t>シリョウ</t>
    </rPh>
    <phoneticPr fontId="1"/>
  </si>
  <si>
    <t>試料99</t>
    <rPh sb="0" eb="2">
      <t>シリョウ</t>
    </rPh>
    <phoneticPr fontId="1"/>
  </si>
  <si>
    <t>試料100</t>
    <rPh sb="0" eb="2">
      <t>シリョウ</t>
    </rPh>
    <phoneticPr fontId="1"/>
  </si>
  <si>
    <t>試料101</t>
    <rPh sb="0" eb="2">
      <t>シリョウ</t>
    </rPh>
    <phoneticPr fontId="1"/>
  </si>
  <si>
    <t>試料102</t>
    <rPh sb="0" eb="2">
      <t>シリョウ</t>
    </rPh>
    <phoneticPr fontId="1"/>
  </si>
  <si>
    <t>試料103</t>
    <rPh sb="0" eb="2">
      <t>シリョウ</t>
    </rPh>
    <phoneticPr fontId="1"/>
  </si>
  <si>
    <t>試料104</t>
    <rPh sb="0" eb="2">
      <t>シリョウ</t>
    </rPh>
    <phoneticPr fontId="1"/>
  </si>
  <si>
    <t>試料105</t>
    <rPh sb="0" eb="2">
      <t>シリョウ</t>
    </rPh>
    <phoneticPr fontId="1"/>
  </si>
  <si>
    <t>試料106</t>
    <rPh sb="0" eb="2">
      <t>シリョウ</t>
    </rPh>
    <phoneticPr fontId="1"/>
  </si>
  <si>
    <t>試料107</t>
    <rPh sb="0" eb="2">
      <t>シリョウ</t>
    </rPh>
    <phoneticPr fontId="1"/>
  </si>
  <si>
    <t>試料108</t>
    <rPh sb="0" eb="2">
      <t>シリョウ</t>
    </rPh>
    <phoneticPr fontId="1"/>
  </si>
  <si>
    <t>試料109</t>
    <rPh sb="0" eb="2">
      <t>シリョウ</t>
    </rPh>
    <phoneticPr fontId="1"/>
  </si>
  <si>
    <t>試料110</t>
    <rPh sb="0" eb="2">
      <t>シリョウ</t>
    </rPh>
    <phoneticPr fontId="1"/>
  </si>
  <si>
    <t>試料111</t>
    <rPh sb="0" eb="2">
      <t>シリョウ</t>
    </rPh>
    <phoneticPr fontId="1"/>
  </si>
  <si>
    <t>試料112</t>
    <rPh sb="0" eb="2">
      <t>シリョウ</t>
    </rPh>
    <phoneticPr fontId="1"/>
  </si>
  <si>
    <t>試料113</t>
    <rPh sb="0" eb="2">
      <t>シリョウ</t>
    </rPh>
    <phoneticPr fontId="1"/>
  </si>
  <si>
    <t>試料114</t>
    <rPh sb="0" eb="2">
      <t>シリョウ</t>
    </rPh>
    <phoneticPr fontId="1"/>
  </si>
  <si>
    <t>試料115</t>
    <rPh sb="0" eb="2">
      <t>シリョウ</t>
    </rPh>
    <phoneticPr fontId="1"/>
  </si>
  <si>
    <t>試料116</t>
    <rPh sb="0" eb="2">
      <t>シリョウ</t>
    </rPh>
    <phoneticPr fontId="1"/>
  </si>
  <si>
    <t>試料117</t>
    <rPh sb="0" eb="2">
      <t>シリョウ</t>
    </rPh>
    <phoneticPr fontId="1"/>
  </si>
  <si>
    <t>試料118</t>
    <rPh sb="0" eb="2">
      <t>シリョウ</t>
    </rPh>
    <phoneticPr fontId="1"/>
  </si>
  <si>
    <t>試料119</t>
    <rPh sb="0" eb="2">
      <t>シリョウ</t>
    </rPh>
    <phoneticPr fontId="1"/>
  </si>
  <si>
    <t>試料120</t>
    <rPh sb="0" eb="2">
      <t>シリョウ</t>
    </rPh>
    <phoneticPr fontId="1"/>
  </si>
  <si>
    <t>試料121</t>
    <rPh sb="0" eb="2">
      <t>シリョウ</t>
    </rPh>
    <phoneticPr fontId="1"/>
  </si>
  <si>
    <t>試料122</t>
    <rPh sb="0" eb="2">
      <t>シリョウ</t>
    </rPh>
    <phoneticPr fontId="1"/>
  </si>
  <si>
    <t>試料123</t>
    <rPh sb="0" eb="2">
      <t>シリョウ</t>
    </rPh>
    <phoneticPr fontId="1"/>
  </si>
  <si>
    <t>試料124</t>
    <rPh sb="0" eb="2">
      <t>シリョウ</t>
    </rPh>
    <phoneticPr fontId="1"/>
  </si>
  <si>
    <t>試料125</t>
    <rPh sb="0" eb="2">
      <t>シリョウ</t>
    </rPh>
    <phoneticPr fontId="1"/>
  </si>
  <si>
    <t>Characterization of Zeolite L Nanoclusters</t>
    <phoneticPr fontId="1"/>
  </si>
  <si>
    <t>Michael Tsapatsis, Mark Lovallo, Tatsuya Okubo, Mark E. davis, and masayoshi Sadakata</t>
    <phoneticPr fontId="1"/>
  </si>
  <si>
    <t>Chem. Mater 7, 1734-1741(1995)</t>
    <phoneticPr fontId="1"/>
  </si>
  <si>
    <t>試料126</t>
    <rPh sb="0" eb="2">
      <t>シリョウ</t>
    </rPh>
    <phoneticPr fontId="1"/>
  </si>
  <si>
    <r>
      <t>Aluminum Distribution in Chabazite:</t>
    </r>
    <r>
      <rPr>
        <sz val="11"/>
        <color theme="1"/>
        <rFont val="ＭＳ 明朝"/>
        <family val="1"/>
        <charset val="128"/>
      </rPr>
      <t> </t>
    </r>
    <r>
      <rPr>
        <sz val="11"/>
        <color theme="1"/>
        <rFont val="游ゴシック"/>
        <family val="3"/>
        <charset val="128"/>
        <scheme val="minor"/>
      </rPr>
      <t xml:space="preserve"> An Experimental and Computational Study</t>
    </r>
    <phoneticPr fontId="1"/>
  </si>
  <si>
    <t>Duncan E. Akporiaye,  Ivar M. Dahl, Helle B. Mostad, and Rune Wendelbo</t>
    <phoneticPr fontId="1"/>
  </si>
  <si>
    <t>J. Phys. Chem. 100, 4148-4153(1996)</t>
    <phoneticPr fontId="1"/>
  </si>
  <si>
    <t>試料127</t>
    <rPh sb="0" eb="2">
      <t>シリョウ</t>
    </rPh>
    <phoneticPr fontId="1"/>
  </si>
  <si>
    <t>Silicate ionic liquid synthesis of zeolite merlinoite: Crystal size control from crystalline nanoaggregates to micron-sized single-crystals</t>
    <phoneticPr fontId="1"/>
  </si>
  <si>
    <t>Mohamed　Haouas, Louwanda Lakiss, Charlotte Martineau, Jaafar El Fallah, Valentin Valtchev, Francis Taulelle</t>
    <phoneticPr fontId="1"/>
  </si>
  <si>
    <t>Microporous and Mesoporous Materials, 198, 35-44(2014)</t>
    <phoneticPr fontId="1"/>
  </si>
  <si>
    <t>試料128</t>
    <rPh sb="0" eb="2">
      <t>シリョウ</t>
    </rPh>
    <phoneticPr fontId="1"/>
  </si>
  <si>
    <t>試料129</t>
    <rPh sb="0" eb="2">
      <t>シリョウ</t>
    </rPh>
    <phoneticPr fontId="1"/>
  </si>
  <si>
    <t>試料130</t>
    <rPh sb="0" eb="2">
      <t>シリョウ</t>
    </rPh>
    <phoneticPr fontId="1"/>
  </si>
  <si>
    <t>試料131</t>
    <rPh sb="0" eb="2">
      <t>シリョウ</t>
    </rPh>
    <phoneticPr fontId="1"/>
  </si>
  <si>
    <t>試料132</t>
    <rPh sb="0" eb="2">
      <t>シリョウ</t>
    </rPh>
    <phoneticPr fontId="1"/>
  </si>
  <si>
    <t>試料133</t>
    <rPh sb="0" eb="2">
      <t>シリョウ</t>
    </rPh>
    <phoneticPr fontId="1"/>
  </si>
  <si>
    <t>Amine-grafted Na-LTA zeolite precursors as basic catalysts for Knoevenagel condensation</t>
    <phoneticPr fontId="1"/>
  </si>
  <si>
    <t>Iago William Zapelini, Dilson Cardoso</t>
    <phoneticPr fontId="1"/>
  </si>
  <si>
    <t>Microporous and Mesoporous Materials, 324, 111270(2021)</t>
    <phoneticPr fontId="1"/>
  </si>
  <si>
    <t>試料134</t>
    <rPh sb="0" eb="2">
      <t>シリョウ</t>
    </rPh>
    <phoneticPr fontId="1"/>
  </si>
  <si>
    <t>Zeolitic catalyst of MFI type, its preparation and use</t>
    <phoneticPr fontId="1"/>
  </si>
  <si>
    <t>Nelson P. Martinez, Juan A. Lujano, Nieves Alvarez, Francisco Machado, Carmen M. Lopez</t>
    <phoneticPr fontId="1"/>
  </si>
  <si>
    <t>US5254327A(1992)</t>
    <phoneticPr fontId="1"/>
  </si>
  <si>
    <t>試料135</t>
    <rPh sb="0" eb="2">
      <t>シリョウ</t>
    </rPh>
    <phoneticPr fontId="1"/>
  </si>
  <si>
    <t>試料136</t>
    <rPh sb="0" eb="2">
      <t>シリョウ</t>
    </rPh>
    <phoneticPr fontId="1"/>
  </si>
  <si>
    <t>試料137</t>
    <rPh sb="0" eb="2">
      <t>シリョウ</t>
    </rPh>
    <phoneticPr fontId="1"/>
  </si>
  <si>
    <t>試料138</t>
    <rPh sb="0" eb="2">
      <t>シリョウ</t>
    </rPh>
    <phoneticPr fontId="1"/>
  </si>
  <si>
    <t>K-F zeolite nanocrystals synthesized from organic-template-free precursor mixture</t>
    <phoneticPr fontId="1"/>
  </si>
  <si>
    <t>Siew-Fang Wong, Hussein Awala, Aurêlie Vincente, Richard Retoux, Tau Chuan Ling, Svetlana Mintova, Rio R. Mukti, Eng-Poh Ng</t>
    <phoneticPr fontId="1"/>
  </si>
  <si>
    <t>Microporous and Mesoporous Materials, 249, 105-110(2017)</t>
    <phoneticPr fontId="1"/>
  </si>
  <si>
    <t>試料139</t>
    <rPh sb="0" eb="2">
      <t>シリョウ</t>
    </rPh>
    <phoneticPr fontId="1"/>
  </si>
  <si>
    <t>試料140</t>
    <rPh sb="0" eb="2">
      <t>シリョウ</t>
    </rPh>
    <phoneticPr fontId="1"/>
  </si>
  <si>
    <t>Facile and fast determination of Si/Al ratio of zeolites using FTIR spectroscopy technique</t>
    <phoneticPr fontId="1"/>
  </si>
  <si>
    <t>Yik-Ken Ma, Severinne Rigolet, Laure Michelin, Jean-Louis Paillaud, Svetlana Mintova, Fitri Khoerunnisa, T. Jean Daou, Eng-Poh N</t>
    <phoneticPr fontId="1"/>
  </si>
  <si>
    <t>Microporous and Mesoporous Materials, 311, 110683(2021)</t>
    <phoneticPr fontId="1"/>
  </si>
  <si>
    <t>試料141</t>
    <rPh sb="0" eb="2">
      <t>シリョウ</t>
    </rPh>
    <phoneticPr fontId="1"/>
  </si>
  <si>
    <t>試料142</t>
    <rPh sb="0" eb="2">
      <t>シリョウ</t>
    </rPh>
    <phoneticPr fontId="1"/>
  </si>
  <si>
    <t>Synthesis of zeolite NaP with controllable morphologies</t>
    <phoneticPr fontId="1"/>
  </si>
  <si>
    <t>Zhiping Huo, Xiangyu Xu, Zhi Lü, Jiaqing Song, Mingyuan He, Zhaofei Li, Qian Wang, Lijun Yan</t>
    <phoneticPr fontId="1"/>
  </si>
  <si>
    <t>Microporous and Mesoporous Materials, 158, 137-140(2012)</t>
    <phoneticPr fontId="1"/>
  </si>
  <si>
    <t>試料143</t>
    <rPh sb="0" eb="2">
      <t>シリョウ</t>
    </rPh>
    <phoneticPr fontId="1"/>
  </si>
  <si>
    <t>試料144</t>
    <rPh sb="0" eb="2">
      <t>シリョウ</t>
    </rPh>
    <phoneticPr fontId="1"/>
  </si>
  <si>
    <t>試料145</t>
    <rPh sb="0" eb="2">
      <t>シリョウ</t>
    </rPh>
    <phoneticPr fontId="1"/>
  </si>
  <si>
    <t>Tunability of ammonia adsorption over NaP zeolite</t>
    <phoneticPr fontId="1"/>
  </si>
  <si>
    <t>Jolie M. Lucero, James M. Crawford, Colin A. Wolden, Moises A. Carreon</t>
    <phoneticPr fontId="1"/>
  </si>
  <si>
    <t>Microporous and Mesoporous Materials, 324, 111288(2021)</t>
    <phoneticPr fontId="1"/>
  </si>
  <si>
    <t>試料146</t>
    <rPh sb="0" eb="2">
      <t>シリョウ</t>
    </rPh>
    <phoneticPr fontId="1"/>
  </si>
  <si>
    <t>試料147</t>
    <rPh sb="0" eb="2">
      <t>シリョウ</t>
    </rPh>
    <phoneticPr fontId="1"/>
  </si>
  <si>
    <t>Mg-Exchanged Gismondine for Superior CO2/N2 and CO2/CH4 Separations</t>
    <phoneticPr fontId="1"/>
  </si>
  <si>
    <t>Jaouad Al Atrach, Igor E. Golub, Edwin B. Clatworthy, Jérôme Rey, Ying Xiong, Ayoub Daouli, Marie Desmurs, Michael Badawi, Rémy, Guillet-Nicolas, and Valentin Valtchaev</t>
    <phoneticPr fontId="1"/>
  </si>
  <si>
    <t>Chem. Mater 36, 1559-1570(2024)</t>
    <phoneticPr fontId="1"/>
  </si>
  <si>
    <t>試料148</t>
    <rPh sb="0" eb="2">
      <t>シリョウ</t>
    </rPh>
    <phoneticPr fontId="1"/>
  </si>
  <si>
    <t>Synthesis of the molecular sieve ZSM-5 without the aid of template</t>
    <phoneticPr fontId="1"/>
  </si>
  <si>
    <t>試料149</t>
    <rPh sb="0" eb="2">
      <t>シリョウ</t>
    </rPh>
    <phoneticPr fontId="1"/>
  </si>
  <si>
    <t>試料150</t>
    <rPh sb="0" eb="2">
      <t>シリョウ</t>
    </rPh>
    <phoneticPr fontId="1"/>
  </si>
  <si>
    <t>Template-free synthesis and catalytic behaviour of aluminium-rich MFI-type zeolites</t>
    <phoneticPr fontId="1"/>
  </si>
  <si>
    <t>V.P. Shiralkar , A. Clearfield</t>
    <phoneticPr fontId="1"/>
  </si>
  <si>
    <t>試料151</t>
    <rPh sb="0" eb="2">
      <t>シリョウ</t>
    </rPh>
    <phoneticPr fontId="1"/>
  </si>
  <si>
    <t>試料152</t>
    <rPh sb="0" eb="2">
      <t>シリョウ</t>
    </rPh>
    <phoneticPr fontId="1"/>
  </si>
  <si>
    <t>試料153</t>
    <rPh sb="0" eb="2">
      <t>シリョウ</t>
    </rPh>
    <phoneticPr fontId="1"/>
  </si>
  <si>
    <t>試料154</t>
    <rPh sb="0" eb="2">
      <t>シリョウ</t>
    </rPh>
    <phoneticPr fontId="1"/>
  </si>
  <si>
    <t>試料155</t>
    <rPh sb="0" eb="2">
      <t>シリョウ</t>
    </rPh>
    <phoneticPr fontId="1"/>
  </si>
  <si>
    <t>試料156</t>
    <rPh sb="0" eb="2">
      <t>シリョウ</t>
    </rPh>
    <phoneticPr fontId="1"/>
  </si>
  <si>
    <t>試料157</t>
    <rPh sb="0" eb="2">
      <t>シリョウ</t>
    </rPh>
    <phoneticPr fontId="1"/>
  </si>
  <si>
    <t>試料158</t>
    <rPh sb="0" eb="2">
      <t>シリョウ</t>
    </rPh>
    <phoneticPr fontId="1"/>
  </si>
  <si>
    <t>試料159</t>
    <rPh sb="0" eb="2">
      <t>シリョウ</t>
    </rPh>
    <phoneticPr fontId="1"/>
  </si>
  <si>
    <t>The crystal structure of zeolite Linde Q: A proposal based on powder X-ray diffraction and 27Al and 29Si MAS n.m.r. spectroscopy</t>
    <phoneticPr fontId="1"/>
  </si>
  <si>
    <t>K.J. Andries, H.J. Bosmans, P.J. Grobet</t>
    <phoneticPr fontId="1"/>
  </si>
  <si>
    <t>Zeolites, 11, 124-131</t>
    <phoneticPr fontId="1"/>
  </si>
  <si>
    <t>試料160</t>
    <rPh sb="0" eb="2">
      <t>シリョウ</t>
    </rPh>
    <phoneticPr fontId="1"/>
  </si>
  <si>
    <t>Plate-like precursors formed in crystallization process of ferrierite from (Na, K)-aluminosilicate system</t>
    <phoneticPr fontId="1"/>
  </si>
  <si>
    <t>Motohiro Isobe, Takahiko Moteki, Shinya Tanahashi, Riichiro Kimura, Yoshihiro Kamimura, Keiji Itabashi, Tatsuya Okubo</t>
    <phoneticPr fontId="1"/>
  </si>
  <si>
    <t>Microporous and Mesoporous Materials, 158, 204-208(2012)</t>
    <phoneticPr fontId="1"/>
  </si>
  <si>
    <t>試料161</t>
    <rPh sb="0" eb="2">
      <t>シリョウ</t>
    </rPh>
    <phoneticPr fontId="1"/>
  </si>
  <si>
    <t>試料162</t>
    <rPh sb="0" eb="2">
      <t>シリョウ</t>
    </rPh>
    <phoneticPr fontId="1"/>
  </si>
  <si>
    <t>Direct synthesis and characterization of high-SiO2-content mordenites</t>
    <phoneticPr fontId="1"/>
  </si>
  <si>
    <t>Geon Joong Kim, Wha Seung Ahn</t>
    <phoneticPr fontId="1"/>
  </si>
  <si>
    <t>Zeolits, 11, 745-750(1991)</t>
    <phoneticPr fontId="1"/>
  </si>
  <si>
    <t>試料163</t>
    <rPh sb="0" eb="2">
      <t>シリョウ</t>
    </rPh>
    <phoneticPr fontId="1"/>
  </si>
  <si>
    <t>試料164</t>
    <rPh sb="0" eb="2">
      <t>シリョウ</t>
    </rPh>
    <phoneticPr fontId="1"/>
  </si>
  <si>
    <t>試料165</t>
    <rPh sb="0" eb="2">
      <t>シリョウ</t>
    </rPh>
    <phoneticPr fontId="1"/>
  </si>
  <si>
    <t>試料166</t>
    <rPh sb="0" eb="2">
      <t>シリョウ</t>
    </rPh>
    <phoneticPr fontId="1"/>
  </si>
  <si>
    <t>試料167</t>
    <rPh sb="0" eb="2">
      <t>シリョウ</t>
    </rPh>
    <phoneticPr fontId="1"/>
  </si>
  <si>
    <t>試料168</t>
    <rPh sb="0" eb="2">
      <t>シリョウ</t>
    </rPh>
    <phoneticPr fontId="1"/>
  </si>
  <si>
    <t>Duncan E. Akporiate, Ivar M. Dahl, Helle B. Mostad, and Rune Wendelbo</t>
    <phoneticPr fontId="1"/>
  </si>
  <si>
    <t>J. Phys Chem, 100, 4148-4153(1996)</t>
    <phoneticPr fontId="1"/>
  </si>
  <si>
    <t>試料169</t>
    <rPh sb="0" eb="2">
      <t>シリョウ</t>
    </rPh>
    <phoneticPr fontId="1"/>
  </si>
  <si>
    <t>Zeolite L</t>
    <phoneticPr fontId="1"/>
  </si>
  <si>
    <t>Johannes P. Verdujin</t>
    <phoneticPr fontId="1"/>
  </si>
  <si>
    <t>US5242675A</t>
    <phoneticPr fontId="1"/>
  </si>
  <si>
    <t>試料170</t>
    <rPh sb="0" eb="2">
      <t>シリョウ</t>
    </rPh>
    <phoneticPr fontId="1"/>
  </si>
  <si>
    <t>Investigation of the Physicochemical Changes Preceding Zeolite Nucleation in a Sodium-Rich Aluminosilicate Gel</t>
    <phoneticPr fontId="1"/>
  </si>
  <si>
    <t>Lama Itani, Yong Liu, Weiping Zhang, Krassimir N. Bozhilov, Luc Delmotte, and Valentin Valtchev</t>
    <phoneticPr fontId="1"/>
  </si>
  <si>
    <t>J. Am. Chem. Soc. 131, 10127-10139(2009)</t>
    <phoneticPr fontId="1"/>
  </si>
  <si>
    <t>試料171</t>
    <rPh sb="0" eb="2">
      <t>シリョウ</t>
    </rPh>
    <phoneticPr fontId="1"/>
  </si>
  <si>
    <t>試料172</t>
    <rPh sb="0" eb="2">
      <t>シリョウ</t>
    </rPh>
    <phoneticPr fontId="1"/>
  </si>
  <si>
    <t>試料173</t>
    <rPh sb="0" eb="2">
      <t>シリョウ</t>
    </rPh>
    <phoneticPr fontId="1"/>
  </si>
  <si>
    <t>CO2 Adsorption/Desorption in FAU Zeolite Nanocrystals: In Situ Synchrotron X-ray Powder Diffraction and in Situ Fourier Transform Infrared Spectroscopic Study</t>
    <phoneticPr fontId="1"/>
  </si>
  <si>
    <t>Michelang Polisi, Julien Grand, Rossella Arletti, Nicolas Barrier, Sarah Komaty, Moussa Zaarour, Avetlana Mintova, and Giovanna Vezzalini</t>
    <phoneticPr fontId="1"/>
  </si>
  <si>
    <t>J. Phys.Chem. C. 2361-2369, 4, 123(2019)</t>
    <phoneticPr fontId="1"/>
  </si>
  <si>
    <t>試料174</t>
    <rPh sb="0" eb="2">
      <t>シリョウ</t>
    </rPh>
    <phoneticPr fontId="1"/>
  </si>
  <si>
    <t>試料175</t>
    <rPh sb="0" eb="2">
      <t>シリョウ</t>
    </rPh>
    <phoneticPr fontId="1"/>
  </si>
  <si>
    <t>Nucleation of FAU and LTA Zeolites from Heterogeneous Aluminosilicate Precursors</t>
    <phoneticPr fontId="1"/>
  </si>
  <si>
    <t>Matthew D. Oleksiak, Jennifer A.Soltis, Marlon T. Conato, R.Lee Penn, and Jeffrey D. Rimer</t>
    <phoneticPr fontId="1"/>
  </si>
  <si>
    <t>Chem.Mater. 28, 4906-4916(2016)</t>
    <phoneticPr fontId="1"/>
  </si>
  <si>
    <t>試料176</t>
    <rPh sb="0" eb="2">
      <t>シリョウ</t>
    </rPh>
    <phoneticPr fontId="1"/>
  </si>
  <si>
    <t>試料177</t>
    <rPh sb="0" eb="2">
      <t>シリョウ</t>
    </rPh>
    <phoneticPr fontId="1"/>
  </si>
  <si>
    <t>試料178</t>
    <rPh sb="0" eb="2">
      <t>シリョウ</t>
    </rPh>
    <phoneticPr fontId="1"/>
  </si>
  <si>
    <t>試料179</t>
    <rPh sb="0" eb="2">
      <t>シリョウ</t>
    </rPh>
    <phoneticPr fontId="1"/>
  </si>
  <si>
    <t>試料180</t>
    <rPh sb="0" eb="2">
      <t>シリョウ</t>
    </rPh>
    <phoneticPr fontId="1"/>
  </si>
  <si>
    <t>試料181</t>
    <rPh sb="0" eb="2">
      <t>シリョウ</t>
    </rPh>
    <phoneticPr fontId="1"/>
  </si>
  <si>
    <t>試料182</t>
    <rPh sb="0" eb="2">
      <t>シリョウ</t>
    </rPh>
    <phoneticPr fontId="1"/>
  </si>
  <si>
    <t>試料183</t>
    <rPh sb="0" eb="2">
      <t>シリョウ</t>
    </rPh>
    <phoneticPr fontId="1"/>
  </si>
  <si>
    <t>試料184</t>
    <rPh sb="0" eb="2">
      <t>シリョウ</t>
    </rPh>
    <phoneticPr fontId="1"/>
  </si>
  <si>
    <t>試料185</t>
    <rPh sb="0" eb="2">
      <t>シリョウ</t>
    </rPh>
    <phoneticPr fontId="1"/>
  </si>
  <si>
    <t>試料186</t>
    <rPh sb="0" eb="2">
      <t>シリョウ</t>
    </rPh>
    <phoneticPr fontId="1"/>
  </si>
  <si>
    <t>試料187</t>
    <rPh sb="0" eb="2">
      <t>シリョウ</t>
    </rPh>
    <phoneticPr fontId="1"/>
  </si>
  <si>
    <t>試料188</t>
    <rPh sb="0" eb="2">
      <t>シリョウ</t>
    </rPh>
    <phoneticPr fontId="1"/>
  </si>
  <si>
    <t>試料189</t>
    <rPh sb="0" eb="2">
      <t>シリョウ</t>
    </rPh>
    <phoneticPr fontId="1"/>
  </si>
  <si>
    <t>Synthesis and characterization of the oxalate cancrinite-type zeolite</t>
    <phoneticPr fontId="1"/>
  </si>
  <si>
    <t>Carlos F. Linares, Charles Simon, Mark T. Weller</t>
    <phoneticPr fontId="1"/>
  </si>
  <si>
    <t>Microporous and Mesoporous Materials, 137, 32-35(2011)</t>
    <phoneticPr fontId="1"/>
  </si>
  <si>
    <t>試料190</t>
    <rPh sb="0" eb="2">
      <t>シリョウ</t>
    </rPh>
    <phoneticPr fontId="1"/>
  </si>
  <si>
    <t>High selectivity and affinity of Linde type F towards NH4+ on application as a soil amendment for maize growth</t>
    <phoneticPr fontId="1"/>
  </si>
  <si>
    <t>Vijay S. Jakkula, Craing D. Williams, Trevor J. Hocking, Mike A. Fullen</t>
    <phoneticPr fontId="1"/>
  </si>
  <si>
    <t>Microporous and Mesoporous Materials, 88, 101-104(2006)</t>
    <phoneticPr fontId="1"/>
  </si>
  <si>
    <t>試料191</t>
    <rPh sb="0" eb="2">
      <t>シリョウ</t>
    </rPh>
    <phoneticPr fontId="1"/>
  </si>
  <si>
    <t>ERI/OFF</t>
    <phoneticPr fontId="1"/>
  </si>
  <si>
    <t>Seed-directed, rapid synthesis of MAZ-type zeolites without using organic structure-directing agent</t>
    <phoneticPr fontId="1"/>
  </si>
  <si>
    <t>Akari Ogawa, Kenta Iyoki, Yoshihiro Kamimura, Shanmugam Palani Elangovan, Kenji Itabashi, Tatusya Okubo</t>
    <phoneticPr fontId="1"/>
  </si>
  <si>
    <t>Microporous and Mesoporous Materials, 88, 21-28(2014)</t>
    <phoneticPr fontId="1"/>
  </si>
  <si>
    <t>試料192</t>
    <rPh sb="0" eb="2">
      <t>シリョウ</t>
    </rPh>
    <phoneticPr fontId="1"/>
  </si>
  <si>
    <t>試料193</t>
    <rPh sb="0" eb="2">
      <t>シリョウ</t>
    </rPh>
    <phoneticPr fontId="1"/>
  </si>
  <si>
    <t>試料194</t>
    <rPh sb="0" eb="2">
      <t>シリョウ</t>
    </rPh>
    <phoneticPr fontId="1"/>
  </si>
  <si>
    <t>試料195</t>
    <rPh sb="0" eb="2">
      <t>シリョウ</t>
    </rPh>
    <phoneticPr fontId="1"/>
  </si>
  <si>
    <t>ANA and GIS zeolite synthesis directly from alumatrane and silatrane by sol-gel process and microwave technique</t>
    <phoneticPr fontId="1"/>
  </si>
  <si>
    <t>試料196</t>
    <rPh sb="0" eb="2">
      <t>シリョウ</t>
    </rPh>
    <phoneticPr fontId="1"/>
  </si>
  <si>
    <t>試料197</t>
    <rPh sb="0" eb="2">
      <t>シリョウ</t>
    </rPh>
    <phoneticPr fontId="1"/>
  </si>
  <si>
    <t>試料198</t>
    <rPh sb="0" eb="2">
      <t>シリョウ</t>
    </rPh>
    <phoneticPr fontId="1"/>
  </si>
  <si>
    <t>試料199</t>
    <rPh sb="0" eb="2">
      <t>シリョウ</t>
    </rPh>
    <phoneticPr fontId="1"/>
  </si>
  <si>
    <t>試料200</t>
    <rPh sb="0" eb="2">
      <t>シリョウ</t>
    </rPh>
    <phoneticPr fontId="1"/>
  </si>
  <si>
    <t>試料201</t>
    <rPh sb="0" eb="2">
      <t>シリョウ</t>
    </rPh>
    <phoneticPr fontId="1"/>
  </si>
  <si>
    <t>試料202</t>
    <rPh sb="0" eb="2">
      <t>シリョウ</t>
    </rPh>
    <phoneticPr fontId="1"/>
  </si>
  <si>
    <t>試料203</t>
    <rPh sb="0" eb="2">
      <t>シリョウ</t>
    </rPh>
    <phoneticPr fontId="1"/>
  </si>
  <si>
    <t>試料204</t>
    <rPh sb="0" eb="2">
      <t>シリョウ</t>
    </rPh>
    <phoneticPr fontId="1"/>
  </si>
  <si>
    <t>On the Role of Small Amines in Zeolite Synthesis. 2</t>
    <phoneticPr fontId="1"/>
  </si>
  <si>
    <t>L. Deane Rollmann, Jhon L. Schlenker, Carrie L. Kennedy, Gordon J, Keneddy, and Douglas J. Doren</t>
    <phoneticPr fontId="1"/>
  </si>
  <si>
    <t>J. Phys Chem. 104, 721-726(2000)</t>
    <phoneticPr fontId="1"/>
  </si>
  <si>
    <t>試料205</t>
    <rPh sb="0" eb="2">
      <t>シリョウ</t>
    </rPh>
    <phoneticPr fontId="1"/>
  </si>
  <si>
    <t>試料206</t>
    <rPh sb="0" eb="2">
      <t>シリョウ</t>
    </rPh>
    <phoneticPr fontId="1"/>
  </si>
  <si>
    <t>試料207</t>
    <rPh sb="0" eb="2">
      <t>シリョウ</t>
    </rPh>
    <phoneticPr fontId="1"/>
  </si>
  <si>
    <t>試料208</t>
    <rPh sb="0" eb="2">
      <t>シリョウ</t>
    </rPh>
    <phoneticPr fontId="1"/>
  </si>
  <si>
    <t>試料209</t>
    <rPh sb="0" eb="2">
      <t>シリョウ</t>
    </rPh>
    <phoneticPr fontId="1"/>
  </si>
  <si>
    <t>試料210</t>
    <rPh sb="0" eb="2">
      <t>シリョウ</t>
    </rPh>
    <phoneticPr fontId="1"/>
  </si>
  <si>
    <t>Fine Structures of Zeolite‐Linde‐L (LTL): Surface Structures, Growth Unit and Defects</t>
    <phoneticPr fontId="1"/>
  </si>
  <si>
    <t>Tetsu Ohsuna Dr., Ben Slater Dr., Feifei Gao Dr., Jihong Yu Prof., Yasahiro Sakamoto Dr., Gaugshan Zhu Prof.,Osamu Terasaki Prof., David E. W. Vaughan Prof</t>
    <phoneticPr fontId="1"/>
  </si>
  <si>
    <t>Chemistry Eyrope, 10, 5031-5040(2004)</t>
    <phoneticPr fontId="1"/>
  </si>
  <si>
    <t>b</t>
    <phoneticPr fontId="1"/>
  </si>
  <si>
    <t>試料211</t>
    <rPh sb="0" eb="2">
      <t>シリョウ</t>
    </rPh>
    <phoneticPr fontId="1"/>
  </si>
  <si>
    <t>Evolution of Surface Morphology with Introduction of Stacking Faults in Zeolites</t>
    <phoneticPr fontId="1"/>
  </si>
  <si>
    <t>Neena S. John Dr., Sam M. Stevens, Osamu Terasaki Prof., Michael W.Anderson Prof.</t>
    <phoneticPr fontId="1"/>
  </si>
  <si>
    <t>Chemistry Europe, 16, 2220-2230(2010)</t>
    <phoneticPr fontId="1"/>
  </si>
  <si>
    <t>試料212</t>
    <rPh sb="0" eb="2">
      <t>シリョウ</t>
    </rPh>
    <phoneticPr fontId="1"/>
  </si>
  <si>
    <t>試料213</t>
    <rPh sb="0" eb="2">
      <t>シリョウ</t>
    </rPh>
    <phoneticPr fontId="1"/>
  </si>
  <si>
    <t>試料214</t>
    <rPh sb="0" eb="2">
      <t>シリョウ</t>
    </rPh>
    <phoneticPr fontId="1"/>
  </si>
  <si>
    <t>Versatile Photoactive Materials Based on Zeolite L Doped with Laser Dyes</t>
    <phoneticPr fontId="1"/>
  </si>
  <si>
    <t>Leire Gartzia-Rivero, Dr. Jorge Bañuelos-Prieto, Dr. Virginia Maartinez-Martinez, Prof.Dr.Inigo Lopez Arbeloa</t>
    <phoneticPr fontId="1"/>
  </si>
  <si>
    <t>Chemistry Europe, 77, 61-70(2011)</t>
    <phoneticPr fontId="1"/>
  </si>
  <si>
    <t>試料215</t>
    <rPh sb="0" eb="2">
      <t>シリョウ</t>
    </rPh>
    <phoneticPr fontId="1"/>
  </si>
  <si>
    <t>Green Hydrogen Separation from Nitrogen by Mixed‐Matrix Membranes Consisting of Nanosized</t>
    <phoneticPr fontId="1"/>
  </si>
  <si>
    <t>Ge Yang, Dr.Hailing Guo, Dr.Zixi Kang, Lei Zhao. Shou Feng, Feng, Jiao, Dr.Svetlana Mintova</t>
    <phoneticPr fontId="1"/>
  </si>
  <si>
    <t>Chemistry Europe, 12, 4529-4537(2018)</t>
    <phoneticPr fontId="1"/>
  </si>
  <si>
    <t>試料216</t>
    <rPh sb="0" eb="2">
      <t>シリョウ</t>
    </rPh>
    <phoneticPr fontId="1"/>
  </si>
  <si>
    <t>TON</t>
    <phoneticPr fontId="1"/>
  </si>
  <si>
    <t>Organotemplate-Free Synthesis of a High-Silica Zeolite with a TON Structure in the Absence of Zeolite Seeds</t>
    <phoneticPr fontId="1"/>
  </si>
  <si>
    <t>Yeqing Wag, Chenqi Zhu, Jing Qiu, Fan Jiang, Xiangju Meng, Xiong Wang, Chi Lei, Yinying Jin, Shixiang Pan, Feng-Shou Xiao</t>
    <phoneticPr fontId="1"/>
  </si>
  <si>
    <t>Chemistry Europe 2016, 1364-1368(2016)</t>
    <phoneticPr fontId="1"/>
  </si>
  <si>
    <t>試料217</t>
    <rPh sb="0" eb="2">
      <t>シリョウ</t>
    </rPh>
    <phoneticPr fontId="1"/>
  </si>
  <si>
    <t>試料218</t>
    <rPh sb="0" eb="2">
      <t>シリョウ</t>
    </rPh>
    <phoneticPr fontId="1"/>
  </si>
  <si>
    <t>試料219</t>
    <rPh sb="0" eb="2">
      <t>シリョウ</t>
    </rPh>
    <phoneticPr fontId="1"/>
  </si>
  <si>
    <t>試料220</t>
    <rPh sb="0" eb="2">
      <t>シリョウ</t>
    </rPh>
    <phoneticPr fontId="1"/>
  </si>
  <si>
    <t>Bioconjugated Fluorescent Zeolite L Nanocrystals as Labels in Protein Microarrays</t>
    <phoneticPr fontId="1"/>
  </si>
  <si>
    <t>Zhen Li, Gianluigi Luppo, Albert Geiger, Hans-Peter Josel, Luisa De Cola</t>
    <phoneticPr fontId="1"/>
  </si>
  <si>
    <t>WiLeY Online Library 7. 3193-3201</t>
    <phoneticPr fontId="1"/>
  </si>
  <si>
    <t>試料221</t>
    <rPh sb="0" eb="2">
      <t>シリョウ</t>
    </rPh>
    <phoneticPr fontId="1"/>
  </si>
  <si>
    <t>Preparation of LTA, HS and FAU/EMT intergrowth zeolites from aluminum scraps and industrial metasilicate</t>
    <phoneticPr fontId="1"/>
  </si>
  <si>
    <t>Rahama Abid, Gerard Delahay, Hassib Toinsi</t>
    <phoneticPr fontId="1"/>
  </si>
  <si>
    <t>Springer, 21, 1188-1196(2019)</t>
    <phoneticPr fontId="1"/>
  </si>
  <si>
    <t>試料222</t>
    <rPh sb="0" eb="2">
      <t>シリョウ</t>
    </rPh>
    <phoneticPr fontId="1"/>
  </si>
  <si>
    <t>試料223</t>
    <rPh sb="0" eb="2">
      <t>シリョウ</t>
    </rPh>
    <phoneticPr fontId="1"/>
  </si>
  <si>
    <t>試料224</t>
    <rPh sb="0" eb="2">
      <t>シリョウ</t>
    </rPh>
    <phoneticPr fontId="1"/>
  </si>
  <si>
    <t>catalysis letters volume 149', 'pages 1965', 'cite</t>
    <phoneticPr fontId="1"/>
  </si>
  <si>
    <t>Yuting Li, Konstantin Khivantsev, Yu Tang, Luan Nguyen, Mahdi Fathizadeh, Jingyue Liu, Miao YU, Franklin Tao</t>
    <phoneticPr fontId="1"/>
  </si>
  <si>
    <t>Catalysis Letters, 149, 165-1974(2019)</t>
    <phoneticPr fontId="1"/>
  </si>
  <si>
    <t>試料225</t>
    <rPh sb="0" eb="2">
      <t>シリョウ</t>
    </rPh>
    <phoneticPr fontId="1"/>
  </si>
  <si>
    <t>Flexible-structured systems made of ceramic fibers containing Pt-NaY zeolite used as CO oxidation catalysts</t>
    <phoneticPr fontId="1"/>
  </si>
  <si>
    <t>J. P. cecchini, E.D. Banus, S.A. Leonardi, M.A. Zanuttini, M.A. Ulla, V.G. Milt</t>
    <phoneticPr fontId="1"/>
  </si>
  <si>
    <t>Springer,50, 755-768(2015)</t>
    <phoneticPr fontId="1"/>
  </si>
  <si>
    <t>試料226</t>
    <rPh sb="0" eb="2">
      <t>シリョウ</t>
    </rPh>
    <phoneticPr fontId="1"/>
  </si>
  <si>
    <t>Hydrothermal Ssynthesis of zeolite L in aNa+/K+ mixed alkali system</t>
    <phoneticPr fontId="1"/>
  </si>
  <si>
    <t>Yong Sig KO, Wha Seung Ahn</t>
    <phoneticPr fontId="1"/>
  </si>
  <si>
    <t>Korean Journal of Chemical Engineering, 25, 1546-1552(2008)</t>
    <phoneticPr fontId="1"/>
  </si>
  <si>
    <t>試料227</t>
    <rPh sb="0" eb="2">
      <t>シリョウ</t>
    </rPh>
    <phoneticPr fontId="1"/>
  </si>
  <si>
    <t>research volume 7', 'pages 383', 'coatings technology</t>
    <phoneticPr fontId="1"/>
  </si>
  <si>
    <t>試料228</t>
    <rPh sb="0" eb="2">
      <t>シリョウ</t>
    </rPh>
    <phoneticPr fontId="1"/>
  </si>
  <si>
    <t>Synthesis and application of a novel mesoporous zeolite L in the catalyst for the HDS of FCC gasoline</t>
    <phoneticPr fontId="1"/>
  </si>
  <si>
    <t>Quan Huo, Tao Dou, Zhen Zhao, Huifang Pan</t>
    <phoneticPr fontId="1"/>
  </si>
  <si>
    <t>Applied Catalysis A: General、３８１、101-108(2010)</t>
    <phoneticPr fontId="1"/>
  </si>
  <si>
    <t>試料229</t>
    <rPh sb="0" eb="2">
      <t>シリョウ</t>
    </rPh>
    <phoneticPr fontId="1"/>
  </si>
  <si>
    <t>Potassium-doped sodalite: A tectoaluminosilicate for the catalytic material towards continuous combustion of carbonaceous matters</t>
    <phoneticPr fontId="1"/>
  </si>
  <si>
    <t>Masaru Ogura, Kazumasa Morozumi, S.P. Elangvan, Hiroshi Tanada, Hiromitsu Ando, Tatsuya Okubo</t>
    <phoneticPr fontId="1"/>
  </si>
  <si>
    <t>Applied Catalysis B : Environmental, 77, 294-299(2008)</t>
    <phoneticPr fontId="1"/>
  </si>
  <si>
    <t>試料230</t>
    <rPh sb="0" eb="2">
      <t>シリョウ</t>
    </rPh>
    <phoneticPr fontId="1"/>
  </si>
  <si>
    <t>Synthesis of a novel zeolite W and application in the catalyst for FCC gasoline hydro-upgrading</t>
    <phoneticPr fontId="1"/>
  </si>
  <si>
    <t>Aijin Duan, Tianshu Li, Huan Niu, Xu Yang, Zugang Wang, Zhen Zhao, Guiyuan Jiang, Jian Liu, Yuechang Wei, Huifang Pan</t>
    <phoneticPr fontId="1"/>
  </si>
  <si>
    <t>Catalysisi Today</t>
    <phoneticPr fontId="1"/>
  </si>
  <si>
    <t>試料231</t>
    <rPh sb="0" eb="2">
      <t>シリョウ</t>
    </rPh>
    <phoneticPr fontId="1"/>
  </si>
  <si>
    <t>ZSM-5 surface modification by plasma for catalytic activity improvement in the gas phase methanol-to-dimethylether reaction</t>
    <phoneticPr fontId="1"/>
  </si>
  <si>
    <t>Josefine Schnee, Maxwell Quezada, Oriana Norosoa, Federico Azzolina-Jury</t>
    <phoneticPr fontId="1"/>
  </si>
  <si>
    <t>Catalysis Today, 337, 195-200(2019)</t>
    <phoneticPr fontId="1"/>
  </si>
  <si>
    <t>試料232</t>
    <rPh sb="0" eb="2">
      <t>シリョウ</t>
    </rPh>
    <phoneticPr fontId="1"/>
  </si>
  <si>
    <t>Interaction effects between CuO-ZnO-ZrO2 methanol phase and zeolite surface affecting stability of hybrid systems during one-step CO2 hydrogenation to DME</t>
    <phoneticPr fontId="1"/>
  </si>
  <si>
    <t>G. Bonura, C.Cannilla, L.Frusteri, E.Catizzone, S.Todaro, M.Migliori, G.Giordano, F.Frusteri</t>
    <phoneticPr fontId="1"/>
  </si>
  <si>
    <t>Catalysis Today, 345, 175-182(2020)</t>
    <phoneticPr fontId="1"/>
  </si>
  <si>
    <t>試料233</t>
    <rPh sb="0" eb="2">
      <t>シリョウ</t>
    </rPh>
    <phoneticPr fontId="1"/>
  </si>
  <si>
    <t>Synthesis of zeolite T by microwave and conventional heating</t>
    <phoneticPr fontId="1"/>
  </si>
  <si>
    <t>Rongfei Zhou, Shenglai Zhang, Xiao Lin, Nanping Xu</t>
    <phoneticPr fontId="1"/>
  </si>
  <si>
    <t>Microporous and Mesoporous Materials, 124, 117-122(2009)</t>
    <phoneticPr fontId="1"/>
  </si>
  <si>
    <t>試料234</t>
    <rPh sb="0" eb="2">
      <t>シリョウ</t>
    </rPh>
    <phoneticPr fontId="1"/>
  </si>
  <si>
    <t>試料235</t>
    <rPh sb="0" eb="2">
      <t>シリョウ</t>
    </rPh>
    <phoneticPr fontId="1"/>
  </si>
  <si>
    <t>試料236</t>
    <rPh sb="0" eb="2">
      <t>シリョウ</t>
    </rPh>
    <phoneticPr fontId="1"/>
  </si>
  <si>
    <t>試料237</t>
    <rPh sb="0" eb="2">
      <t>シリョウ</t>
    </rPh>
    <phoneticPr fontId="1"/>
  </si>
  <si>
    <t>Fabrication of silanated zeolite T/6FDA-durene composite membranes for CO2/CH4 separation</t>
    <phoneticPr fontId="1"/>
  </si>
  <si>
    <t>試料238</t>
    <rPh sb="0" eb="2">
      <t>シリョウ</t>
    </rPh>
    <phoneticPr fontId="1"/>
  </si>
  <si>
    <t>Microporous and Mesoporous Materials, 201, 247-257(2015)</t>
    <phoneticPr fontId="1"/>
  </si>
  <si>
    <t>試料239</t>
    <rPh sb="0" eb="2">
      <t>シリョウ</t>
    </rPh>
    <phoneticPr fontId="1"/>
  </si>
  <si>
    <t>試料240</t>
    <rPh sb="0" eb="2">
      <t>シリョウ</t>
    </rPh>
    <phoneticPr fontId="1"/>
  </si>
  <si>
    <t>Investigation of hydrothermal synthesis parameters on characteristics of T type zeolite crystal structure</t>
    <phoneticPr fontId="1"/>
  </si>
  <si>
    <t>Mojtaba Mirfendereski, Taroj Mohammadi</t>
    <phoneticPr fontId="1"/>
  </si>
  <si>
    <t>試料241</t>
    <rPh sb="0" eb="2">
      <t>シリョウ</t>
    </rPh>
    <phoneticPr fontId="1"/>
  </si>
  <si>
    <t>試料242</t>
    <rPh sb="0" eb="2">
      <t>シリョウ</t>
    </rPh>
    <phoneticPr fontId="1"/>
  </si>
  <si>
    <t>試料243</t>
    <rPh sb="0" eb="2">
      <t>シリョウ</t>
    </rPh>
    <phoneticPr fontId="1"/>
  </si>
  <si>
    <t>試料244</t>
    <rPh sb="0" eb="2">
      <t>シリョウ</t>
    </rPh>
    <phoneticPr fontId="1"/>
  </si>
  <si>
    <t>試料245</t>
    <rPh sb="0" eb="2">
      <t>シリョウ</t>
    </rPh>
    <phoneticPr fontId="1"/>
  </si>
  <si>
    <t>試料246</t>
    <rPh sb="0" eb="2">
      <t>シリョウ</t>
    </rPh>
    <phoneticPr fontId="1"/>
  </si>
  <si>
    <t>試料247</t>
    <rPh sb="0" eb="2">
      <t>シリョウ</t>
    </rPh>
    <phoneticPr fontId="1"/>
  </si>
  <si>
    <t>試料248</t>
    <rPh sb="0" eb="2">
      <t>シリョウ</t>
    </rPh>
    <phoneticPr fontId="1"/>
  </si>
  <si>
    <t>試料249</t>
    <rPh sb="0" eb="2">
      <t>シリョウ</t>
    </rPh>
    <phoneticPr fontId="1"/>
  </si>
  <si>
    <t>試料250</t>
    <rPh sb="0" eb="2">
      <t>シリョウ</t>
    </rPh>
    <phoneticPr fontId="1"/>
  </si>
  <si>
    <t>試料251</t>
    <rPh sb="0" eb="2">
      <t>シリョウ</t>
    </rPh>
    <phoneticPr fontId="1"/>
  </si>
  <si>
    <t>試料252</t>
    <rPh sb="0" eb="2">
      <t>シリョウ</t>
    </rPh>
    <phoneticPr fontId="1"/>
  </si>
  <si>
    <t>試料253</t>
    <rPh sb="0" eb="2">
      <t>シリョウ</t>
    </rPh>
    <phoneticPr fontId="1"/>
  </si>
  <si>
    <t>The synthesis and characterisation of JBW－type zeolites.: Part A: Sodium/potassium aluminosilicate, Na2K[Al3Si3O12]·0.5H2O</t>
    <phoneticPr fontId="1"/>
  </si>
  <si>
    <t>A. M. Healey, G. M. Johnson, M.T. Weller</t>
    <phoneticPr fontId="1"/>
  </si>
  <si>
    <t>Microporous and Mesoporous Materials, 37, 153-161(2000)</t>
    <phoneticPr fontId="1"/>
  </si>
  <si>
    <t>試料254</t>
    <rPh sb="0" eb="2">
      <t>シリョウ</t>
    </rPh>
    <phoneticPr fontId="1"/>
  </si>
  <si>
    <t>試料255</t>
    <rPh sb="0" eb="2">
      <t>シリョウ</t>
    </rPh>
    <phoneticPr fontId="1"/>
  </si>
  <si>
    <t>試料256</t>
    <rPh sb="0" eb="2">
      <t>シリョウ</t>
    </rPh>
    <phoneticPr fontId="1"/>
  </si>
  <si>
    <t>試料257</t>
    <rPh sb="0" eb="2">
      <t>シリョウ</t>
    </rPh>
    <phoneticPr fontId="1"/>
  </si>
  <si>
    <t>Thermostability of hydroxy sodalite in view of membrane applicsation</t>
    <phoneticPr fontId="1"/>
  </si>
  <si>
    <t>Sheida Khajavi, Sina Sartipi, Jorge Gascon, Jansen, Freek Kaptejin</t>
    <phoneticPr fontId="1"/>
  </si>
  <si>
    <t>Microporous and Mesoporous materials, 132, 510-517(2010)</t>
    <phoneticPr fontId="1"/>
  </si>
  <si>
    <t>試料258</t>
    <rPh sb="0" eb="2">
      <t>シリョウ</t>
    </rPh>
    <phoneticPr fontId="1"/>
  </si>
  <si>
    <t>試料259</t>
    <rPh sb="0" eb="2">
      <t>シリョウ</t>
    </rPh>
    <phoneticPr fontId="1"/>
  </si>
  <si>
    <t>試料260</t>
    <rPh sb="0" eb="2">
      <t>シリョウ</t>
    </rPh>
    <phoneticPr fontId="1"/>
  </si>
  <si>
    <t>試料261</t>
    <rPh sb="0" eb="2">
      <t>シリョウ</t>
    </rPh>
    <phoneticPr fontId="1"/>
  </si>
  <si>
    <t>試料262</t>
    <rPh sb="0" eb="2">
      <t>シリョウ</t>
    </rPh>
    <phoneticPr fontId="1"/>
  </si>
  <si>
    <t>試料263</t>
    <rPh sb="0" eb="2">
      <t>シリョウ</t>
    </rPh>
    <phoneticPr fontId="1"/>
  </si>
  <si>
    <t>Synthesis research of nanosized ZSM-5 zeolites in the absence of organic template</t>
    <phoneticPr fontId="1"/>
  </si>
  <si>
    <t>Y. Cheng, R.H.Liao, J.S.Li, X.Y.Sun, L.J.Wang</t>
    <phoneticPr fontId="1"/>
  </si>
  <si>
    <t>試料264</t>
    <rPh sb="0" eb="2">
      <t>シリョウ</t>
    </rPh>
    <phoneticPr fontId="1"/>
  </si>
  <si>
    <t>試料265</t>
    <rPh sb="0" eb="2">
      <t>シリョウ</t>
    </rPh>
    <phoneticPr fontId="1"/>
  </si>
  <si>
    <t>試料266</t>
    <rPh sb="0" eb="2">
      <t>シリョウ</t>
    </rPh>
    <phoneticPr fontId="1"/>
  </si>
  <si>
    <t>試料267</t>
    <rPh sb="0" eb="2">
      <t>シリョウ</t>
    </rPh>
    <phoneticPr fontId="1"/>
  </si>
  <si>
    <t>試料268</t>
    <rPh sb="0" eb="2">
      <t>シリョウ</t>
    </rPh>
    <phoneticPr fontId="1"/>
  </si>
  <si>
    <t>試料269</t>
    <rPh sb="0" eb="2">
      <t>シリョウ</t>
    </rPh>
    <phoneticPr fontId="1"/>
  </si>
  <si>
    <t>試料270</t>
    <rPh sb="0" eb="2">
      <t>シリョウ</t>
    </rPh>
    <phoneticPr fontId="1"/>
  </si>
  <si>
    <t>試料271</t>
    <rPh sb="0" eb="2">
      <t>シリョウ</t>
    </rPh>
    <phoneticPr fontId="1"/>
  </si>
  <si>
    <t>試料272</t>
    <rPh sb="0" eb="2">
      <t>シリョウ</t>
    </rPh>
    <phoneticPr fontId="1"/>
  </si>
  <si>
    <t>Mechanism on solvent-free crystallization of NaA zeolite</t>
    <phoneticPr fontId="1"/>
  </si>
  <si>
    <t>Yuchen Xiao, Na Shengg, Yueying Chu, Yeqing Wang, Qinming Wu, Xiaolong Liu, Feng Deng, Xiangju Meng, Zhaochi Feng</t>
    <phoneticPr fontId="1"/>
  </si>
  <si>
    <t>Microporous and Mesoporous Materials, 237, 201-209</t>
    <phoneticPr fontId="1"/>
  </si>
  <si>
    <t>試料273</t>
    <rPh sb="0" eb="2">
      <t>シリョウ</t>
    </rPh>
    <phoneticPr fontId="1"/>
  </si>
  <si>
    <t>試料274</t>
    <rPh sb="0" eb="2">
      <t>シリョウ</t>
    </rPh>
    <phoneticPr fontId="1"/>
  </si>
  <si>
    <t>Effect of framework Si/Al ratio on the mechanism of CO2 adsorption on the small-pore zeolite gismondine</t>
    <phoneticPr fontId="1"/>
  </si>
  <si>
    <t>Hyun June Choi, Suk, Bong Hong</t>
    <phoneticPr fontId="1"/>
  </si>
  <si>
    <t>Chemical Engineering Journal, 433, 133800(2022)</t>
    <phoneticPr fontId="1"/>
  </si>
  <si>
    <t>試料275</t>
    <rPh sb="0" eb="2">
      <t>シリョウ</t>
    </rPh>
    <phoneticPr fontId="1"/>
  </si>
  <si>
    <t>試料276</t>
    <rPh sb="0" eb="2">
      <t>シリョウ</t>
    </rPh>
    <phoneticPr fontId="1"/>
  </si>
  <si>
    <t>試料277</t>
    <rPh sb="0" eb="2">
      <t>シリョウ</t>
    </rPh>
    <phoneticPr fontId="1"/>
  </si>
  <si>
    <t>試料278</t>
    <rPh sb="0" eb="2">
      <t>シリョウ</t>
    </rPh>
    <phoneticPr fontId="1"/>
  </si>
  <si>
    <t>Transmission Electron Microscopy of the Formation of FAU-Type Zeolite at Room Temperature</t>
    <phoneticPr fontId="1"/>
  </si>
  <si>
    <t>Valentin P.  Valtchev and Krassimir N. Bozhilov</t>
    <phoneticPr fontId="1"/>
  </si>
  <si>
    <t>J. Phys. Chem B, 108, 15587-15598(2004)</t>
    <phoneticPr fontId="1"/>
  </si>
  <si>
    <t>試料279</t>
    <rPh sb="0" eb="2">
      <t>シリョウ</t>
    </rPh>
    <phoneticPr fontId="1"/>
  </si>
  <si>
    <t>synthesis of mordenite nanocrystals</t>
    <phoneticPr fontId="1"/>
  </si>
  <si>
    <t>Beatriz O Hincapie, Luis J Garces, Qiuhua Zhang, A Sacco, Steven L Suib</t>
    <phoneticPr fontId="1"/>
  </si>
  <si>
    <t>Microporous and Mesoporous Materials, 67, 19-26(2004)</t>
    <phoneticPr fontId="1"/>
  </si>
  <si>
    <t>試料280</t>
    <rPh sb="0" eb="2">
      <t>シリョウ</t>
    </rPh>
    <phoneticPr fontId="1"/>
  </si>
  <si>
    <t>Gel evolution in a FAU-type zeolite yielding system at 90℃</t>
    <phoneticPr fontId="1"/>
  </si>
  <si>
    <t>Valentin Valtchev, Severinne Rigolet, Krassimir N. Bozhilov</t>
    <phoneticPr fontId="1"/>
  </si>
  <si>
    <t>Microporous and Mesoporous Materials, 101, 73-82(2007)</t>
    <phoneticPr fontId="1"/>
  </si>
  <si>
    <t>試料281</t>
    <rPh sb="0" eb="2">
      <t>シリョウ</t>
    </rPh>
    <phoneticPr fontId="1"/>
  </si>
  <si>
    <t>Direct alkylation of toluene with ethane on bifunctional zeolite catalysts</t>
    <phoneticPr fontId="1"/>
  </si>
  <si>
    <t>Sarah Sealy, Yvonne Traa</t>
    <phoneticPr fontId="1"/>
  </si>
  <si>
    <t>Applied Catalysis A: General, 294, 273-278(2005)</t>
    <phoneticPr fontId="1"/>
  </si>
  <si>
    <t>FAU/LTA</t>
    <phoneticPr fontId="1"/>
  </si>
  <si>
    <t>FAU/SOD/GIS</t>
    <phoneticPr fontId="1"/>
  </si>
  <si>
    <t>SOD/GIS/CAN</t>
    <phoneticPr fontId="1"/>
  </si>
  <si>
    <t>SOD/GIS/FAU</t>
    <phoneticPr fontId="1"/>
  </si>
  <si>
    <t>GIS/SOD/CAN</t>
    <phoneticPr fontId="1"/>
  </si>
  <si>
    <t>SOD/LTA</t>
    <phoneticPr fontId="1"/>
  </si>
  <si>
    <t>GIS/SOD</t>
    <phoneticPr fontId="1"/>
  </si>
  <si>
    <t>LTA/SOD</t>
    <phoneticPr fontId="1"/>
  </si>
  <si>
    <t>CAN/SOD</t>
    <phoneticPr fontId="1"/>
  </si>
  <si>
    <t>CAN/ANA</t>
    <phoneticPr fontId="1"/>
  </si>
  <si>
    <t>CAN/JBW</t>
    <phoneticPr fontId="1"/>
  </si>
  <si>
    <t>ANA/CAN</t>
    <phoneticPr fontId="1"/>
  </si>
  <si>
    <t>ANA/CAN/JBW</t>
    <phoneticPr fontId="1"/>
  </si>
  <si>
    <t>LTA/FAU</t>
    <phoneticPr fontId="1"/>
  </si>
  <si>
    <t>LAU/LTA/SOD</t>
    <phoneticPr fontId="1"/>
  </si>
  <si>
    <t>FAU/GIS/LTA/SOD</t>
    <phoneticPr fontId="1"/>
  </si>
  <si>
    <t>FAU/GIS/SOD</t>
    <phoneticPr fontId="1"/>
  </si>
  <si>
    <t>CAN/GIS/SOD</t>
    <phoneticPr fontId="1"/>
  </si>
  <si>
    <t>CHA/EDI</t>
    <phoneticPr fontId="1"/>
  </si>
  <si>
    <t>CHA/EDI/BPH</t>
    <phoneticPr fontId="1"/>
  </si>
  <si>
    <t>CHA/MER</t>
    <phoneticPr fontId="1"/>
  </si>
  <si>
    <t>CHA/BPH</t>
    <phoneticPr fontId="1"/>
  </si>
  <si>
    <t>MER/LTL</t>
    <phoneticPr fontId="1"/>
  </si>
  <si>
    <t>CHA/MER/EDI</t>
    <phoneticPr fontId="1"/>
  </si>
  <si>
    <t>MER/CHA/LTL</t>
    <phoneticPr fontId="1"/>
  </si>
  <si>
    <t>MER/EDI</t>
    <phoneticPr fontId="1"/>
  </si>
  <si>
    <t>試料282</t>
    <rPh sb="0" eb="2">
      <t>シリョウ</t>
    </rPh>
    <phoneticPr fontId="1"/>
  </si>
  <si>
    <t>試料283</t>
    <rPh sb="0" eb="2">
      <t>シリョウ</t>
    </rPh>
    <phoneticPr fontId="1"/>
  </si>
  <si>
    <t>試料284</t>
    <rPh sb="0" eb="2">
      <t>シリョウ</t>
    </rPh>
    <phoneticPr fontId="1"/>
  </si>
  <si>
    <t>試料285</t>
    <rPh sb="0" eb="2">
      <t>シリョウ</t>
    </rPh>
    <phoneticPr fontId="1"/>
  </si>
  <si>
    <t>試料286</t>
    <rPh sb="0" eb="2">
      <t>シリョウ</t>
    </rPh>
    <phoneticPr fontId="1"/>
  </si>
  <si>
    <t>試料287</t>
    <rPh sb="0" eb="2">
      <t>シリョウ</t>
    </rPh>
    <phoneticPr fontId="1"/>
  </si>
  <si>
    <t>試料288</t>
    <rPh sb="0" eb="2">
      <t>シリョウ</t>
    </rPh>
    <phoneticPr fontId="1"/>
  </si>
  <si>
    <t>試料289</t>
    <rPh sb="0" eb="2">
      <t>シリョウ</t>
    </rPh>
    <phoneticPr fontId="1"/>
  </si>
  <si>
    <t>試料290</t>
    <rPh sb="0" eb="2">
      <t>シリョウ</t>
    </rPh>
    <phoneticPr fontId="1"/>
  </si>
  <si>
    <t>試料291</t>
    <rPh sb="0" eb="2">
      <t>シリョウ</t>
    </rPh>
    <phoneticPr fontId="1"/>
  </si>
  <si>
    <t>試料292</t>
    <rPh sb="0" eb="2">
      <t>シリョウ</t>
    </rPh>
    <phoneticPr fontId="1"/>
  </si>
  <si>
    <t>試料293</t>
    <rPh sb="0" eb="2">
      <t>シリョウ</t>
    </rPh>
    <phoneticPr fontId="1"/>
  </si>
  <si>
    <t>試料294</t>
    <rPh sb="0" eb="2">
      <t>シリョウ</t>
    </rPh>
    <phoneticPr fontId="1"/>
  </si>
  <si>
    <t>試料295</t>
    <rPh sb="0" eb="2">
      <t>シリョウ</t>
    </rPh>
    <phoneticPr fontId="1"/>
  </si>
  <si>
    <t>試料296</t>
    <rPh sb="0" eb="2">
      <t>シリョウ</t>
    </rPh>
    <phoneticPr fontId="1"/>
  </si>
  <si>
    <t>試料297</t>
    <rPh sb="0" eb="2">
      <t>シリョウ</t>
    </rPh>
    <phoneticPr fontId="1"/>
  </si>
  <si>
    <t>試料298</t>
    <rPh sb="0" eb="2">
      <t>シリョウ</t>
    </rPh>
    <phoneticPr fontId="1"/>
  </si>
  <si>
    <t>試料299</t>
    <rPh sb="0" eb="2">
      <t>シリョウ</t>
    </rPh>
    <phoneticPr fontId="1"/>
  </si>
  <si>
    <t>試料300</t>
    <rPh sb="0" eb="2">
      <t>シリョウ</t>
    </rPh>
    <phoneticPr fontId="1"/>
  </si>
  <si>
    <t>試料301</t>
    <rPh sb="0" eb="2">
      <t>シリョウ</t>
    </rPh>
    <phoneticPr fontId="1"/>
  </si>
  <si>
    <t>試料302</t>
    <rPh sb="0" eb="2">
      <t>シリョウ</t>
    </rPh>
    <phoneticPr fontId="1"/>
  </si>
  <si>
    <t>試料303</t>
    <rPh sb="0" eb="2">
      <t>シリョウ</t>
    </rPh>
    <phoneticPr fontId="1"/>
  </si>
  <si>
    <t>試料304</t>
    <rPh sb="0" eb="2">
      <t>シリョウ</t>
    </rPh>
    <phoneticPr fontId="1"/>
  </si>
  <si>
    <t>試料305</t>
    <rPh sb="0" eb="2">
      <t>シリョウ</t>
    </rPh>
    <phoneticPr fontId="1"/>
  </si>
  <si>
    <t>試料306</t>
    <rPh sb="0" eb="2">
      <t>シリョウ</t>
    </rPh>
    <phoneticPr fontId="1"/>
  </si>
  <si>
    <t>試料307</t>
    <rPh sb="0" eb="2">
      <t>シリョウ</t>
    </rPh>
    <phoneticPr fontId="1"/>
  </si>
  <si>
    <t>試料308</t>
    <rPh sb="0" eb="2">
      <t>シリョウ</t>
    </rPh>
    <phoneticPr fontId="1"/>
  </si>
  <si>
    <t>試料309</t>
    <rPh sb="0" eb="2">
      <t>シリョウ</t>
    </rPh>
    <phoneticPr fontId="1"/>
  </si>
  <si>
    <t>試料310</t>
    <rPh sb="0" eb="2">
      <t>シリョウ</t>
    </rPh>
    <phoneticPr fontId="1"/>
  </si>
  <si>
    <t>試料311</t>
    <rPh sb="0" eb="2">
      <t>シリョウ</t>
    </rPh>
    <phoneticPr fontId="1"/>
  </si>
  <si>
    <t>試料312</t>
    <rPh sb="0" eb="2">
      <t>シリョウ</t>
    </rPh>
    <phoneticPr fontId="1"/>
  </si>
  <si>
    <t>試料313</t>
    <rPh sb="0" eb="2">
      <t>シリョウ</t>
    </rPh>
    <phoneticPr fontId="1"/>
  </si>
  <si>
    <t>試料314</t>
    <rPh sb="0" eb="2">
      <t>シリョウ</t>
    </rPh>
    <phoneticPr fontId="1"/>
  </si>
  <si>
    <t>試料315</t>
    <rPh sb="0" eb="2">
      <t>シリョウ</t>
    </rPh>
    <phoneticPr fontId="1"/>
  </si>
  <si>
    <t>試料316</t>
    <rPh sb="0" eb="2">
      <t>シリョウ</t>
    </rPh>
    <phoneticPr fontId="1"/>
  </si>
  <si>
    <t>試料317</t>
    <rPh sb="0" eb="2">
      <t>シリョウ</t>
    </rPh>
    <phoneticPr fontId="1"/>
  </si>
  <si>
    <t>試料318</t>
    <rPh sb="0" eb="2">
      <t>シリョウ</t>
    </rPh>
    <phoneticPr fontId="1"/>
  </si>
  <si>
    <t>試料319</t>
    <rPh sb="0" eb="2">
      <t>シリョウ</t>
    </rPh>
    <phoneticPr fontId="1"/>
  </si>
  <si>
    <t>試料320</t>
    <rPh sb="0" eb="2">
      <t>シリョウ</t>
    </rPh>
    <phoneticPr fontId="1"/>
  </si>
  <si>
    <t>試料321</t>
    <rPh sb="0" eb="2">
      <t>シリョウ</t>
    </rPh>
    <phoneticPr fontId="1"/>
  </si>
  <si>
    <t>試料322</t>
    <rPh sb="0" eb="2">
      <t>シリョウ</t>
    </rPh>
    <phoneticPr fontId="1"/>
  </si>
  <si>
    <t>試料323</t>
    <rPh sb="0" eb="2">
      <t>シリョウ</t>
    </rPh>
    <phoneticPr fontId="1"/>
  </si>
  <si>
    <t>試料324</t>
    <rPh sb="0" eb="2">
      <t>シリョウ</t>
    </rPh>
    <phoneticPr fontId="1"/>
  </si>
  <si>
    <t>試料325</t>
    <rPh sb="0" eb="2">
      <t>シリョウ</t>
    </rPh>
    <phoneticPr fontId="1"/>
  </si>
  <si>
    <t>試料326</t>
    <rPh sb="0" eb="2">
      <t>シリョウ</t>
    </rPh>
    <phoneticPr fontId="1"/>
  </si>
  <si>
    <t>試料327</t>
    <rPh sb="0" eb="2">
      <t>シリョウ</t>
    </rPh>
    <phoneticPr fontId="1"/>
  </si>
  <si>
    <t>試料328</t>
    <rPh sb="0" eb="2">
      <t>シリョウ</t>
    </rPh>
    <phoneticPr fontId="1"/>
  </si>
  <si>
    <t>試料329</t>
    <rPh sb="0" eb="2">
      <t>シリョウ</t>
    </rPh>
    <phoneticPr fontId="1"/>
  </si>
  <si>
    <t>試料330</t>
    <rPh sb="0" eb="2">
      <t>シリョウ</t>
    </rPh>
    <phoneticPr fontId="1"/>
  </si>
  <si>
    <t>試料331</t>
    <rPh sb="0" eb="2">
      <t>シリョウ</t>
    </rPh>
    <phoneticPr fontId="1"/>
  </si>
  <si>
    <t>試料332</t>
    <rPh sb="0" eb="2">
      <t>シリョウ</t>
    </rPh>
    <phoneticPr fontId="1"/>
  </si>
  <si>
    <t>試料333</t>
    <rPh sb="0" eb="2">
      <t>シリョウ</t>
    </rPh>
    <phoneticPr fontId="1"/>
  </si>
  <si>
    <t>試料334</t>
    <rPh sb="0" eb="2">
      <t>シリョウ</t>
    </rPh>
    <phoneticPr fontId="1"/>
  </si>
  <si>
    <t>試料335</t>
    <rPh sb="0" eb="2">
      <t>シリョウ</t>
    </rPh>
    <phoneticPr fontId="1"/>
  </si>
  <si>
    <t>試料336</t>
    <rPh sb="0" eb="2">
      <t>シリョウ</t>
    </rPh>
    <phoneticPr fontId="1"/>
  </si>
  <si>
    <t>試料337</t>
    <rPh sb="0" eb="2">
      <t>シリョウ</t>
    </rPh>
    <phoneticPr fontId="1"/>
  </si>
  <si>
    <t>試料338</t>
    <rPh sb="0" eb="2">
      <t>シリョウ</t>
    </rPh>
    <phoneticPr fontId="1"/>
  </si>
  <si>
    <t>試料339</t>
    <rPh sb="0" eb="2">
      <t>シリョウ</t>
    </rPh>
    <phoneticPr fontId="1"/>
  </si>
  <si>
    <t>試料340</t>
    <rPh sb="0" eb="2">
      <t>シリョウ</t>
    </rPh>
    <phoneticPr fontId="1"/>
  </si>
  <si>
    <t>試料341</t>
    <rPh sb="0" eb="2">
      <t>シリョウ</t>
    </rPh>
    <phoneticPr fontId="1"/>
  </si>
  <si>
    <t>試料342</t>
    <rPh sb="0" eb="2">
      <t>シリョウ</t>
    </rPh>
    <phoneticPr fontId="1"/>
  </si>
  <si>
    <t>試料343</t>
    <rPh sb="0" eb="2">
      <t>シリョウ</t>
    </rPh>
    <phoneticPr fontId="1"/>
  </si>
  <si>
    <t>試料344</t>
    <rPh sb="0" eb="2">
      <t>シリョウ</t>
    </rPh>
    <phoneticPr fontId="1"/>
  </si>
  <si>
    <t>試料345</t>
    <rPh sb="0" eb="2">
      <t>シリョウ</t>
    </rPh>
    <phoneticPr fontId="1"/>
  </si>
  <si>
    <t>試料346</t>
    <rPh sb="0" eb="2">
      <t>シリョウ</t>
    </rPh>
    <phoneticPr fontId="1"/>
  </si>
  <si>
    <t>試料347</t>
    <rPh sb="0" eb="2">
      <t>シリョウ</t>
    </rPh>
    <phoneticPr fontId="1"/>
  </si>
  <si>
    <t>試料348</t>
    <rPh sb="0" eb="2">
      <t>シリョウ</t>
    </rPh>
    <phoneticPr fontId="1"/>
  </si>
  <si>
    <t>試料349</t>
    <rPh sb="0" eb="2">
      <t>シリョウ</t>
    </rPh>
    <phoneticPr fontId="1"/>
  </si>
  <si>
    <t>試料350</t>
    <rPh sb="0" eb="2">
      <t>シリョウ</t>
    </rPh>
    <phoneticPr fontId="1"/>
  </si>
  <si>
    <t>試料351</t>
    <rPh sb="0" eb="2">
      <t>シリョウ</t>
    </rPh>
    <phoneticPr fontId="1"/>
  </si>
  <si>
    <t>試料352</t>
    <rPh sb="0" eb="2">
      <t>シリョウ</t>
    </rPh>
    <phoneticPr fontId="1"/>
  </si>
  <si>
    <t>試料353</t>
    <rPh sb="0" eb="2">
      <t>シリョウ</t>
    </rPh>
    <phoneticPr fontId="1"/>
  </si>
  <si>
    <t>試料354</t>
    <rPh sb="0" eb="2">
      <t>シリョウ</t>
    </rPh>
    <phoneticPr fontId="1"/>
  </si>
  <si>
    <t>試料355</t>
    <rPh sb="0" eb="2">
      <t>シリョウ</t>
    </rPh>
    <phoneticPr fontId="1"/>
  </si>
  <si>
    <t>MOR/MFI</t>
    <phoneticPr fontId="1"/>
  </si>
  <si>
    <t>試料356</t>
    <rPh sb="0" eb="2">
      <t>シリョウ</t>
    </rPh>
    <phoneticPr fontId="1"/>
  </si>
  <si>
    <t>試料357</t>
    <rPh sb="0" eb="2">
      <t>シリョウ</t>
    </rPh>
    <phoneticPr fontId="1"/>
  </si>
  <si>
    <t>試料358</t>
    <rPh sb="0" eb="2">
      <t>シリョウ</t>
    </rPh>
    <phoneticPr fontId="1"/>
  </si>
  <si>
    <t>試料359</t>
    <rPh sb="0" eb="2">
      <t>シリョウ</t>
    </rPh>
    <phoneticPr fontId="1"/>
  </si>
  <si>
    <t>PHI</t>
    <phoneticPr fontId="1"/>
  </si>
  <si>
    <t>RHO</t>
    <phoneticPr fontId="1"/>
  </si>
  <si>
    <t>KFI</t>
    <phoneticPr fontId="1"/>
  </si>
  <si>
    <t>HEU</t>
    <phoneticPr fontId="1"/>
  </si>
  <si>
    <t>試料360</t>
    <rPh sb="0" eb="2">
      <t>シリョウ</t>
    </rPh>
    <phoneticPr fontId="1"/>
  </si>
  <si>
    <t>試料361</t>
    <rPh sb="0" eb="2">
      <t>シリョウ</t>
    </rPh>
    <phoneticPr fontId="1"/>
  </si>
  <si>
    <t>試料362</t>
    <rPh sb="0" eb="2">
      <t>シリョウ</t>
    </rPh>
    <phoneticPr fontId="1"/>
  </si>
  <si>
    <t>試料363</t>
    <rPh sb="0" eb="2">
      <t>シリョウ</t>
    </rPh>
    <phoneticPr fontId="1"/>
  </si>
  <si>
    <t>試料364</t>
    <rPh sb="0" eb="2">
      <t>シリョウ</t>
    </rPh>
    <phoneticPr fontId="1"/>
  </si>
  <si>
    <t>試料365</t>
    <rPh sb="0" eb="2">
      <t>シリョウ</t>
    </rPh>
    <phoneticPr fontId="1"/>
  </si>
  <si>
    <t>試料366</t>
    <rPh sb="0" eb="2">
      <t>シリョウ</t>
    </rPh>
    <phoneticPr fontId="1"/>
  </si>
  <si>
    <t>試料367</t>
    <rPh sb="0" eb="2">
      <t>シリョウ</t>
    </rPh>
    <phoneticPr fontId="1"/>
  </si>
  <si>
    <t>試料368</t>
    <rPh sb="0" eb="2">
      <t>シリョウ</t>
    </rPh>
    <phoneticPr fontId="1"/>
  </si>
  <si>
    <t>試料369</t>
    <rPh sb="0" eb="2">
      <t>シリョウ</t>
    </rPh>
    <phoneticPr fontId="1"/>
  </si>
  <si>
    <t>試料370</t>
    <rPh sb="0" eb="2">
      <t>シリョウ</t>
    </rPh>
    <phoneticPr fontId="1"/>
  </si>
  <si>
    <t>試料371</t>
    <rPh sb="0" eb="2">
      <t>シリョウ</t>
    </rPh>
    <phoneticPr fontId="1"/>
  </si>
  <si>
    <t>試料372</t>
    <rPh sb="0" eb="2">
      <t>シリョウ</t>
    </rPh>
    <phoneticPr fontId="1"/>
  </si>
  <si>
    <t>試料373</t>
    <rPh sb="0" eb="2">
      <t>シリョウ</t>
    </rPh>
    <phoneticPr fontId="1"/>
  </si>
  <si>
    <t>試料374</t>
    <rPh sb="0" eb="2">
      <t>シリョウ</t>
    </rPh>
    <phoneticPr fontId="1"/>
  </si>
  <si>
    <t>試料375</t>
    <rPh sb="0" eb="2">
      <t>シリョウ</t>
    </rPh>
    <phoneticPr fontId="1"/>
  </si>
  <si>
    <t>試料376</t>
    <rPh sb="0" eb="2">
      <t>シリョウ</t>
    </rPh>
    <phoneticPr fontId="1"/>
  </si>
  <si>
    <t>試料377</t>
    <rPh sb="0" eb="2">
      <t>シリョウ</t>
    </rPh>
    <phoneticPr fontId="1"/>
  </si>
  <si>
    <t>試料378</t>
    <rPh sb="0" eb="2">
      <t>シリョウ</t>
    </rPh>
    <phoneticPr fontId="1"/>
  </si>
  <si>
    <t>試料379</t>
    <rPh sb="0" eb="2">
      <t>シリョウ</t>
    </rPh>
    <phoneticPr fontId="1"/>
  </si>
  <si>
    <t>試料380</t>
    <rPh sb="0" eb="2">
      <t>シリョウ</t>
    </rPh>
    <phoneticPr fontId="1"/>
  </si>
  <si>
    <t>試料381</t>
    <rPh sb="0" eb="2">
      <t>シリョウ</t>
    </rPh>
    <phoneticPr fontId="1"/>
  </si>
  <si>
    <t>試料382</t>
    <rPh sb="0" eb="2">
      <t>シリョウ</t>
    </rPh>
    <phoneticPr fontId="1"/>
  </si>
  <si>
    <t>試料383</t>
    <rPh sb="0" eb="2">
      <t>シリョウ</t>
    </rPh>
    <phoneticPr fontId="1"/>
  </si>
  <si>
    <t>試料384</t>
    <rPh sb="0" eb="2">
      <t>シリョウ</t>
    </rPh>
    <phoneticPr fontId="1"/>
  </si>
  <si>
    <t>試料385</t>
    <rPh sb="0" eb="2">
      <t>シリョウ</t>
    </rPh>
    <phoneticPr fontId="1"/>
  </si>
  <si>
    <t>試料386</t>
    <rPh sb="0" eb="2">
      <t>シリョウ</t>
    </rPh>
    <phoneticPr fontId="1"/>
  </si>
  <si>
    <t>試料387</t>
    <rPh sb="0" eb="2">
      <t>シリョウ</t>
    </rPh>
    <phoneticPr fontId="1"/>
  </si>
  <si>
    <t>試料388</t>
    <rPh sb="0" eb="2">
      <t>シリョウ</t>
    </rPh>
    <phoneticPr fontId="1"/>
  </si>
  <si>
    <t>試料389</t>
    <rPh sb="0" eb="2">
      <t>シリョウ</t>
    </rPh>
    <phoneticPr fontId="1"/>
  </si>
  <si>
    <t>試料390</t>
    <rPh sb="0" eb="2">
      <t>シリョウ</t>
    </rPh>
    <phoneticPr fontId="1"/>
  </si>
  <si>
    <t>試料391</t>
    <rPh sb="0" eb="2">
      <t>シリョウ</t>
    </rPh>
    <phoneticPr fontId="1"/>
  </si>
  <si>
    <t>試料392</t>
    <rPh sb="0" eb="2">
      <t>シリョウ</t>
    </rPh>
    <phoneticPr fontId="1"/>
  </si>
  <si>
    <t>試料393</t>
    <rPh sb="0" eb="2">
      <t>シリョウ</t>
    </rPh>
    <phoneticPr fontId="1"/>
  </si>
  <si>
    <t>試料394</t>
    <rPh sb="0" eb="2">
      <t>シリョウ</t>
    </rPh>
    <phoneticPr fontId="1"/>
  </si>
  <si>
    <t>試料395</t>
    <rPh sb="0" eb="2">
      <t>シリョウ</t>
    </rPh>
    <phoneticPr fontId="1"/>
  </si>
  <si>
    <t>試料396</t>
    <rPh sb="0" eb="2">
      <t>シリョウ</t>
    </rPh>
    <phoneticPr fontId="1"/>
  </si>
  <si>
    <t>試料397</t>
    <rPh sb="0" eb="2">
      <t>シリョウ</t>
    </rPh>
    <phoneticPr fontId="1"/>
  </si>
  <si>
    <t>試料398</t>
    <rPh sb="0" eb="2">
      <t>シリョウ</t>
    </rPh>
    <phoneticPr fontId="1"/>
  </si>
  <si>
    <t>試料399</t>
    <rPh sb="0" eb="2">
      <t>シリョウ</t>
    </rPh>
    <phoneticPr fontId="1"/>
  </si>
  <si>
    <t>試料400</t>
    <rPh sb="0" eb="2">
      <t>シリョウ</t>
    </rPh>
    <phoneticPr fontId="1"/>
  </si>
  <si>
    <t>試料401</t>
    <rPh sb="0" eb="2">
      <t>シリョウ</t>
    </rPh>
    <phoneticPr fontId="1"/>
  </si>
  <si>
    <t>試料402</t>
    <rPh sb="0" eb="2">
      <t>シリョウ</t>
    </rPh>
    <phoneticPr fontId="1"/>
  </si>
  <si>
    <t>試料403</t>
    <rPh sb="0" eb="2">
      <t>シリョウ</t>
    </rPh>
    <phoneticPr fontId="1"/>
  </si>
  <si>
    <t>試料404</t>
    <rPh sb="0" eb="2">
      <t>シリョウ</t>
    </rPh>
    <phoneticPr fontId="1"/>
  </si>
  <si>
    <t>試料405</t>
    <rPh sb="0" eb="2">
      <t>シリョウ</t>
    </rPh>
    <phoneticPr fontId="1"/>
  </si>
  <si>
    <t>試料406</t>
    <rPh sb="0" eb="2">
      <t>シリョウ</t>
    </rPh>
    <phoneticPr fontId="1"/>
  </si>
  <si>
    <t>試料407</t>
    <rPh sb="0" eb="2">
      <t>シリョウ</t>
    </rPh>
    <phoneticPr fontId="1"/>
  </si>
  <si>
    <t>試料408</t>
    <rPh sb="0" eb="2">
      <t>シリョウ</t>
    </rPh>
    <phoneticPr fontId="1"/>
  </si>
  <si>
    <t>試料409</t>
    <rPh sb="0" eb="2">
      <t>シリョウ</t>
    </rPh>
    <phoneticPr fontId="1"/>
  </si>
  <si>
    <t>試料410</t>
    <rPh sb="0" eb="2">
      <t>シリョウ</t>
    </rPh>
    <phoneticPr fontId="1"/>
  </si>
  <si>
    <t>試料411</t>
    <rPh sb="0" eb="2">
      <t>シリョウ</t>
    </rPh>
    <phoneticPr fontId="1"/>
  </si>
  <si>
    <t>試料412</t>
    <rPh sb="0" eb="2">
      <t>シリョウ</t>
    </rPh>
    <phoneticPr fontId="1"/>
  </si>
  <si>
    <t>試料413</t>
    <rPh sb="0" eb="2">
      <t>シリョウ</t>
    </rPh>
    <phoneticPr fontId="1"/>
  </si>
  <si>
    <t>試料414</t>
    <rPh sb="0" eb="2">
      <t>シリョウ</t>
    </rPh>
    <phoneticPr fontId="1"/>
  </si>
  <si>
    <t>試料415</t>
    <rPh sb="0" eb="2">
      <t>シリョウ</t>
    </rPh>
    <phoneticPr fontId="1"/>
  </si>
  <si>
    <t>試料416</t>
    <rPh sb="0" eb="2">
      <t>シリョウ</t>
    </rPh>
    <phoneticPr fontId="1"/>
  </si>
  <si>
    <t>試料417</t>
    <rPh sb="0" eb="2">
      <t>シリョウ</t>
    </rPh>
    <phoneticPr fontId="1"/>
  </si>
  <si>
    <t>試料418</t>
    <rPh sb="0" eb="2">
      <t>シリョウ</t>
    </rPh>
    <phoneticPr fontId="1"/>
  </si>
  <si>
    <t>試料419</t>
    <rPh sb="0" eb="2">
      <t>シリョウ</t>
    </rPh>
    <phoneticPr fontId="1"/>
  </si>
  <si>
    <r>
      <t>Cu-OFF/ERI Zeolite: Intergrowth Structure Synergistically Boosting Selective Catalytic Reduction of NO</t>
    </r>
    <r>
      <rPr>
        <i/>
        <sz val="10"/>
        <color rgb="FF151515"/>
        <rFont val="Arial"/>
        <family val="2"/>
      </rPr>
      <t>x</t>
    </r>
    <r>
      <rPr>
        <sz val="10"/>
        <color rgb="FF151515"/>
        <rFont val="Arial"/>
        <family val="2"/>
      </rPr>
      <t> with NH3</t>
    </r>
    <phoneticPr fontId="1"/>
  </si>
  <si>
    <t>US Patent 2,962,355 (1960).</t>
  </si>
  <si>
    <t>試料420</t>
    <rPh sb="0" eb="2">
      <t>シリョウ</t>
    </rPh>
    <phoneticPr fontId="1"/>
  </si>
  <si>
    <t>試料421</t>
    <rPh sb="0" eb="2">
      <t>シリョウ</t>
    </rPh>
    <phoneticPr fontId="1"/>
  </si>
  <si>
    <t>試料422</t>
    <rPh sb="0" eb="2">
      <t>シリョウ</t>
    </rPh>
    <phoneticPr fontId="1"/>
  </si>
  <si>
    <t>試料423</t>
    <rPh sb="0" eb="2">
      <t>シリョウ</t>
    </rPh>
    <phoneticPr fontId="1"/>
  </si>
  <si>
    <t>試料424</t>
    <rPh sb="0" eb="2">
      <t>シリョウ</t>
    </rPh>
    <phoneticPr fontId="1"/>
  </si>
  <si>
    <t>試料425</t>
    <rPh sb="0" eb="2">
      <t>シリョウ</t>
    </rPh>
    <phoneticPr fontId="1"/>
  </si>
  <si>
    <t>試料426</t>
    <rPh sb="0" eb="2">
      <t>シリョウ</t>
    </rPh>
    <phoneticPr fontId="1"/>
  </si>
  <si>
    <t>試料427</t>
    <rPh sb="0" eb="2">
      <t>シリョウ</t>
    </rPh>
    <phoneticPr fontId="1"/>
  </si>
  <si>
    <t>試料428</t>
    <rPh sb="0" eb="2">
      <t>シリョウ</t>
    </rPh>
    <phoneticPr fontId="1"/>
  </si>
  <si>
    <t>試料429</t>
    <rPh sb="0" eb="2">
      <t>シリョウ</t>
    </rPh>
    <phoneticPr fontId="1"/>
  </si>
  <si>
    <t>試料430</t>
    <rPh sb="0" eb="2">
      <t>シリョウ</t>
    </rPh>
    <phoneticPr fontId="1"/>
  </si>
  <si>
    <t>試料431</t>
    <rPh sb="0" eb="2">
      <t>シリョウ</t>
    </rPh>
    <phoneticPr fontId="1"/>
  </si>
  <si>
    <t>試料432</t>
    <rPh sb="0" eb="2">
      <t>シリョウ</t>
    </rPh>
    <phoneticPr fontId="1"/>
  </si>
  <si>
    <t>試料433</t>
    <rPh sb="0" eb="2">
      <t>シリョウ</t>
    </rPh>
    <phoneticPr fontId="1"/>
  </si>
  <si>
    <t>試料434</t>
    <rPh sb="0" eb="2">
      <t>シリョウ</t>
    </rPh>
    <phoneticPr fontId="1"/>
  </si>
  <si>
    <t>試料435</t>
    <rPh sb="0" eb="2">
      <t>シリョウ</t>
    </rPh>
    <phoneticPr fontId="1"/>
  </si>
  <si>
    <t>試料436</t>
    <rPh sb="0" eb="2">
      <t>シリョウ</t>
    </rPh>
    <phoneticPr fontId="1"/>
  </si>
  <si>
    <t>試料437</t>
    <rPh sb="0" eb="2">
      <t>シリョウ</t>
    </rPh>
    <phoneticPr fontId="1"/>
  </si>
  <si>
    <t>試料438</t>
    <rPh sb="0" eb="2">
      <t>シリョウ</t>
    </rPh>
    <phoneticPr fontId="1"/>
  </si>
  <si>
    <t>試料439</t>
    <rPh sb="0" eb="2">
      <t>シリョウ</t>
    </rPh>
    <phoneticPr fontId="1"/>
  </si>
  <si>
    <t>試料440</t>
    <rPh sb="0" eb="2">
      <t>シリョウ</t>
    </rPh>
    <phoneticPr fontId="1"/>
  </si>
  <si>
    <t>試料441</t>
    <rPh sb="0" eb="2">
      <t>シリョウ</t>
    </rPh>
    <phoneticPr fontId="1"/>
  </si>
  <si>
    <t>試料442</t>
    <rPh sb="0" eb="2">
      <t>シリョウ</t>
    </rPh>
    <phoneticPr fontId="1"/>
  </si>
  <si>
    <t>試料443</t>
    <rPh sb="0" eb="2">
      <t>シリョウ</t>
    </rPh>
    <phoneticPr fontId="1"/>
  </si>
  <si>
    <t>試料444</t>
    <rPh sb="0" eb="2">
      <t>シリョウ</t>
    </rPh>
    <phoneticPr fontId="1"/>
  </si>
  <si>
    <t>試料445</t>
    <rPh sb="0" eb="2">
      <t>シリョウ</t>
    </rPh>
    <phoneticPr fontId="1"/>
  </si>
  <si>
    <t>試料446</t>
    <rPh sb="0" eb="2">
      <t>シリョウ</t>
    </rPh>
    <phoneticPr fontId="1"/>
  </si>
  <si>
    <t>試料447</t>
    <rPh sb="0" eb="2">
      <t>シリョウ</t>
    </rPh>
    <phoneticPr fontId="1"/>
  </si>
  <si>
    <t>試料448</t>
    <rPh sb="0" eb="2">
      <t>シリョウ</t>
    </rPh>
    <phoneticPr fontId="1"/>
  </si>
  <si>
    <t>試料449</t>
    <rPh sb="0" eb="2">
      <t>シリョウ</t>
    </rPh>
    <phoneticPr fontId="1"/>
  </si>
  <si>
    <t>試料450</t>
    <rPh sb="0" eb="2">
      <t>シリョウ</t>
    </rPh>
    <phoneticPr fontId="1"/>
  </si>
  <si>
    <t>試料451</t>
    <rPh sb="0" eb="2">
      <t>シリョウ</t>
    </rPh>
    <phoneticPr fontId="1"/>
  </si>
  <si>
    <t>試料452</t>
    <rPh sb="0" eb="2">
      <t>シリョウ</t>
    </rPh>
    <phoneticPr fontId="1"/>
  </si>
  <si>
    <t>試料453</t>
    <rPh sb="0" eb="2">
      <t>シリョウ</t>
    </rPh>
    <phoneticPr fontId="1"/>
  </si>
  <si>
    <t>試料454</t>
    <rPh sb="0" eb="2">
      <t>シリョウ</t>
    </rPh>
    <phoneticPr fontId="1"/>
  </si>
  <si>
    <t>試料455</t>
    <rPh sb="0" eb="2">
      <t>シリョウ</t>
    </rPh>
    <phoneticPr fontId="1"/>
  </si>
  <si>
    <t>試料456</t>
    <rPh sb="0" eb="2">
      <t>シリョウ</t>
    </rPh>
    <phoneticPr fontId="1"/>
  </si>
  <si>
    <t>試料457</t>
    <rPh sb="0" eb="2">
      <t>シリョウ</t>
    </rPh>
    <phoneticPr fontId="1"/>
  </si>
  <si>
    <t>試料458</t>
    <rPh sb="0" eb="2">
      <t>シリョウ</t>
    </rPh>
    <phoneticPr fontId="1"/>
  </si>
  <si>
    <t>試料459</t>
    <rPh sb="0" eb="2">
      <t>シリョウ</t>
    </rPh>
    <phoneticPr fontId="1"/>
  </si>
  <si>
    <t>試料460</t>
    <rPh sb="0" eb="2">
      <t>シリョウ</t>
    </rPh>
    <phoneticPr fontId="1"/>
  </si>
  <si>
    <t>試料461</t>
    <rPh sb="0" eb="2">
      <t>シリョウ</t>
    </rPh>
    <phoneticPr fontId="1"/>
  </si>
  <si>
    <t>試料462</t>
    <rPh sb="0" eb="2">
      <t>シリョウ</t>
    </rPh>
    <phoneticPr fontId="1"/>
  </si>
  <si>
    <t>試料463</t>
    <rPh sb="0" eb="2">
      <t>シリョウ</t>
    </rPh>
    <phoneticPr fontId="1"/>
  </si>
  <si>
    <t>試料464</t>
    <rPh sb="0" eb="2">
      <t>シリョウ</t>
    </rPh>
    <phoneticPr fontId="1"/>
  </si>
  <si>
    <t>試料465</t>
    <rPh sb="0" eb="2">
      <t>シリョウ</t>
    </rPh>
    <phoneticPr fontId="1"/>
  </si>
  <si>
    <t>試料466</t>
    <rPh sb="0" eb="2">
      <t>シリョウ</t>
    </rPh>
    <phoneticPr fontId="1"/>
  </si>
  <si>
    <t>試料467</t>
    <rPh sb="0" eb="2">
      <t>シリョウ</t>
    </rPh>
    <phoneticPr fontId="1"/>
  </si>
  <si>
    <t>試料468</t>
    <rPh sb="0" eb="2">
      <t>シリョウ</t>
    </rPh>
    <phoneticPr fontId="1"/>
  </si>
  <si>
    <t>試料469</t>
    <rPh sb="0" eb="2">
      <t>シリョウ</t>
    </rPh>
    <phoneticPr fontId="1"/>
  </si>
  <si>
    <t>試料470</t>
    <rPh sb="0" eb="2">
      <t>シリョウ</t>
    </rPh>
    <phoneticPr fontId="1"/>
  </si>
  <si>
    <t>試料471</t>
    <rPh sb="0" eb="2">
      <t>シリョウ</t>
    </rPh>
    <phoneticPr fontId="1"/>
  </si>
  <si>
    <t>試料472</t>
    <rPh sb="0" eb="2">
      <t>シリョウ</t>
    </rPh>
    <phoneticPr fontId="1"/>
  </si>
  <si>
    <t>試料473</t>
    <rPh sb="0" eb="2">
      <t>シリョウ</t>
    </rPh>
    <phoneticPr fontId="1"/>
  </si>
  <si>
    <t>試料474</t>
    <rPh sb="0" eb="2">
      <t>シリョウ</t>
    </rPh>
    <phoneticPr fontId="1"/>
  </si>
  <si>
    <t>試料475</t>
    <rPh sb="0" eb="2">
      <t>シリョウ</t>
    </rPh>
    <phoneticPr fontId="1"/>
  </si>
  <si>
    <t>試料476</t>
    <rPh sb="0" eb="2">
      <t>シリョウ</t>
    </rPh>
    <phoneticPr fontId="1"/>
  </si>
  <si>
    <t>試料477</t>
    <rPh sb="0" eb="2">
      <t>シリョウ</t>
    </rPh>
    <phoneticPr fontId="1"/>
  </si>
  <si>
    <t>試料478</t>
    <rPh sb="0" eb="2">
      <t>シリョウ</t>
    </rPh>
    <phoneticPr fontId="1"/>
  </si>
  <si>
    <t>試料479</t>
    <rPh sb="0" eb="2">
      <t>シリョウ</t>
    </rPh>
    <phoneticPr fontId="1"/>
  </si>
  <si>
    <t>試料480</t>
    <rPh sb="0" eb="2">
      <t>シリョウ</t>
    </rPh>
    <phoneticPr fontId="1"/>
  </si>
  <si>
    <t>試料481</t>
    <rPh sb="0" eb="2">
      <t>シリョウ</t>
    </rPh>
    <phoneticPr fontId="1"/>
  </si>
  <si>
    <t>試料482</t>
    <rPh sb="0" eb="2">
      <t>シリョウ</t>
    </rPh>
    <phoneticPr fontId="1"/>
  </si>
  <si>
    <t>試料483</t>
    <rPh sb="0" eb="2">
      <t>シリョウ</t>
    </rPh>
    <phoneticPr fontId="1"/>
  </si>
  <si>
    <t>試料484</t>
    <rPh sb="0" eb="2">
      <t>シリョウ</t>
    </rPh>
    <phoneticPr fontId="1"/>
  </si>
  <si>
    <t>試料485</t>
    <rPh sb="0" eb="2">
      <t>シリョウ</t>
    </rPh>
    <phoneticPr fontId="1"/>
  </si>
  <si>
    <t>試料486</t>
    <rPh sb="0" eb="2">
      <t>シリョウ</t>
    </rPh>
    <phoneticPr fontId="1"/>
  </si>
  <si>
    <t>試料487</t>
    <rPh sb="0" eb="2">
      <t>シリョウ</t>
    </rPh>
    <phoneticPr fontId="1"/>
  </si>
  <si>
    <t>試料488</t>
    <rPh sb="0" eb="2">
      <t>シリョウ</t>
    </rPh>
    <phoneticPr fontId="1"/>
  </si>
  <si>
    <t>試料489</t>
    <rPh sb="0" eb="2">
      <t>シリョウ</t>
    </rPh>
    <phoneticPr fontId="1"/>
  </si>
  <si>
    <t>試料490</t>
    <rPh sb="0" eb="2">
      <t>シリョウ</t>
    </rPh>
    <phoneticPr fontId="1"/>
  </si>
  <si>
    <t>試料491</t>
    <rPh sb="0" eb="2">
      <t>シリョウ</t>
    </rPh>
    <phoneticPr fontId="1"/>
  </si>
  <si>
    <t>試料492</t>
    <rPh sb="0" eb="2">
      <t>シリョウ</t>
    </rPh>
    <phoneticPr fontId="1"/>
  </si>
  <si>
    <t>試料493</t>
    <rPh sb="0" eb="2">
      <t>シリョウ</t>
    </rPh>
    <phoneticPr fontId="1"/>
  </si>
  <si>
    <t>試料494</t>
    <rPh sb="0" eb="2">
      <t>シリョウ</t>
    </rPh>
    <phoneticPr fontId="1"/>
  </si>
  <si>
    <t>試料495</t>
    <rPh sb="0" eb="2">
      <t>シリョウ</t>
    </rPh>
    <phoneticPr fontId="1"/>
  </si>
  <si>
    <t>試料496</t>
    <rPh sb="0" eb="2">
      <t>シリョウ</t>
    </rPh>
    <phoneticPr fontId="1"/>
  </si>
  <si>
    <t>試料497</t>
    <rPh sb="0" eb="2">
      <t>シリョウ</t>
    </rPh>
    <phoneticPr fontId="1"/>
  </si>
  <si>
    <t>CsOH</t>
    <phoneticPr fontId="1"/>
  </si>
  <si>
    <t>Amorphous</t>
    <phoneticPr fontId="1"/>
  </si>
  <si>
    <t>試料498</t>
    <rPh sb="0" eb="2">
      <t>シリョウ</t>
    </rPh>
    <phoneticPr fontId="1"/>
  </si>
  <si>
    <t>試料499</t>
    <rPh sb="0" eb="2">
      <t>シリョウ</t>
    </rPh>
    <phoneticPr fontId="1"/>
  </si>
  <si>
    <t>試料500</t>
    <rPh sb="0" eb="2">
      <t>シリョウ</t>
    </rPh>
    <phoneticPr fontId="1"/>
  </si>
  <si>
    <t>試料501</t>
    <rPh sb="0" eb="2">
      <t>シリョウ</t>
    </rPh>
    <phoneticPr fontId="1"/>
  </si>
  <si>
    <t>試料502</t>
    <rPh sb="0" eb="2">
      <t>シリョウ</t>
    </rPh>
    <phoneticPr fontId="1"/>
  </si>
  <si>
    <t>試料503</t>
    <rPh sb="0" eb="2">
      <t>シリョウ</t>
    </rPh>
    <phoneticPr fontId="1"/>
  </si>
  <si>
    <t>試料504</t>
    <rPh sb="0" eb="2">
      <t>シリョウ</t>
    </rPh>
    <phoneticPr fontId="1"/>
  </si>
  <si>
    <t>試料505</t>
    <rPh sb="0" eb="2">
      <t>シリョウ</t>
    </rPh>
    <phoneticPr fontId="1"/>
  </si>
  <si>
    <t>試料506</t>
    <rPh sb="0" eb="2">
      <t>シリョウ</t>
    </rPh>
    <phoneticPr fontId="1"/>
  </si>
  <si>
    <t>試料507</t>
    <rPh sb="0" eb="2">
      <t>シリョウ</t>
    </rPh>
    <phoneticPr fontId="1"/>
  </si>
  <si>
    <t>試料508</t>
    <rPh sb="0" eb="2">
      <t>シリョウ</t>
    </rPh>
    <phoneticPr fontId="1"/>
  </si>
  <si>
    <t>試料509</t>
    <rPh sb="0" eb="2">
      <t>シリョウ</t>
    </rPh>
    <phoneticPr fontId="1"/>
  </si>
  <si>
    <t>試料510</t>
    <rPh sb="0" eb="2">
      <t>シリョウ</t>
    </rPh>
    <phoneticPr fontId="1"/>
  </si>
  <si>
    <t>試料511</t>
    <rPh sb="0" eb="2">
      <t>シリョウ</t>
    </rPh>
    <phoneticPr fontId="1"/>
  </si>
  <si>
    <t>試料512</t>
    <rPh sb="0" eb="2">
      <t>シリョウ</t>
    </rPh>
    <phoneticPr fontId="1"/>
  </si>
  <si>
    <t>試料513</t>
    <rPh sb="0" eb="2">
      <t>シリョウ</t>
    </rPh>
    <phoneticPr fontId="1"/>
  </si>
  <si>
    <t>試料514</t>
    <rPh sb="0" eb="2">
      <t>シリョウ</t>
    </rPh>
    <phoneticPr fontId="1"/>
  </si>
  <si>
    <t>試料515</t>
    <rPh sb="0" eb="2">
      <t>シリョウ</t>
    </rPh>
    <phoneticPr fontId="1"/>
  </si>
  <si>
    <t>試料516</t>
    <rPh sb="0" eb="2">
      <t>シリョウ</t>
    </rPh>
    <phoneticPr fontId="1"/>
  </si>
  <si>
    <t>試料517</t>
    <rPh sb="0" eb="2">
      <t>シリョウ</t>
    </rPh>
    <phoneticPr fontId="1"/>
  </si>
  <si>
    <t>試料518</t>
    <rPh sb="0" eb="2">
      <t>シリョウ</t>
    </rPh>
    <phoneticPr fontId="1"/>
  </si>
  <si>
    <t>試料519</t>
    <rPh sb="0" eb="2">
      <t>シリョウ</t>
    </rPh>
    <phoneticPr fontId="1"/>
  </si>
  <si>
    <t>試料520</t>
    <rPh sb="0" eb="2">
      <t>シリョウ</t>
    </rPh>
    <phoneticPr fontId="1"/>
  </si>
  <si>
    <t>試料521</t>
    <rPh sb="0" eb="2">
      <t>シリョウ</t>
    </rPh>
    <phoneticPr fontId="1"/>
  </si>
  <si>
    <t>試料522</t>
    <rPh sb="0" eb="2">
      <t>シリョウ</t>
    </rPh>
    <phoneticPr fontId="1"/>
  </si>
  <si>
    <t>試料523</t>
    <rPh sb="0" eb="2">
      <t>シリョウ</t>
    </rPh>
    <phoneticPr fontId="1"/>
  </si>
  <si>
    <t>試料524</t>
    <rPh sb="0" eb="2">
      <t>シリョウ</t>
    </rPh>
    <phoneticPr fontId="1"/>
  </si>
  <si>
    <t>試料525</t>
    <rPh sb="0" eb="2">
      <t>シリョウ</t>
    </rPh>
    <phoneticPr fontId="1"/>
  </si>
  <si>
    <t>試料526</t>
    <rPh sb="0" eb="2">
      <t>シリョウ</t>
    </rPh>
    <phoneticPr fontId="1"/>
  </si>
  <si>
    <t>試料527</t>
    <rPh sb="0" eb="2">
      <t>シリョウ</t>
    </rPh>
    <phoneticPr fontId="1"/>
  </si>
  <si>
    <t>試料528</t>
    <rPh sb="0" eb="2">
      <t>シリョウ</t>
    </rPh>
    <phoneticPr fontId="1"/>
  </si>
  <si>
    <t>試料529</t>
    <rPh sb="0" eb="2">
      <t>シリョウ</t>
    </rPh>
    <phoneticPr fontId="1"/>
  </si>
  <si>
    <t>試料530</t>
    <rPh sb="0" eb="2">
      <t>シリョウ</t>
    </rPh>
    <phoneticPr fontId="1"/>
  </si>
  <si>
    <t>試料531</t>
    <rPh sb="0" eb="2">
      <t>シリョウ</t>
    </rPh>
    <phoneticPr fontId="1"/>
  </si>
  <si>
    <t>試料532</t>
    <rPh sb="0" eb="2">
      <t>シリョウ</t>
    </rPh>
    <phoneticPr fontId="1"/>
  </si>
  <si>
    <t>試料533</t>
    <rPh sb="0" eb="2">
      <t>シリョウ</t>
    </rPh>
    <phoneticPr fontId="1"/>
  </si>
  <si>
    <t>試料534</t>
    <rPh sb="0" eb="2">
      <t>シリョウ</t>
    </rPh>
    <phoneticPr fontId="1"/>
  </si>
  <si>
    <t>試料535</t>
    <rPh sb="0" eb="2">
      <t>シリョウ</t>
    </rPh>
    <phoneticPr fontId="1"/>
  </si>
  <si>
    <t>試料536</t>
    <rPh sb="0" eb="2">
      <t>シリョウ</t>
    </rPh>
    <phoneticPr fontId="1"/>
  </si>
  <si>
    <t>試料537</t>
    <rPh sb="0" eb="2">
      <t>シリョウ</t>
    </rPh>
    <phoneticPr fontId="1"/>
  </si>
  <si>
    <t>試料538</t>
    <rPh sb="0" eb="2">
      <t>シリョウ</t>
    </rPh>
    <phoneticPr fontId="1"/>
  </si>
  <si>
    <t>試料539</t>
    <rPh sb="0" eb="2">
      <t>シリョウ</t>
    </rPh>
    <phoneticPr fontId="1"/>
  </si>
  <si>
    <t>試料540</t>
    <rPh sb="0" eb="2">
      <t>シリョウ</t>
    </rPh>
    <phoneticPr fontId="1"/>
  </si>
  <si>
    <t>試料541</t>
    <rPh sb="0" eb="2">
      <t>シリョウ</t>
    </rPh>
    <phoneticPr fontId="1"/>
  </si>
  <si>
    <t>試料542</t>
    <rPh sb="0" eb="2">
      <t>シリョウ</t>
    </rPh>
    <phoneticPr fontId="1"/>
  </si>
  <si>
    <t>試料543</t>
    <rPh sb="0" eb="2">
      <t>シリョウ</t>
    </rPh>
    <phoneticPr fontId="1"/>
  </si>
  <si>
    <t>試料544</t>
    <rPh sb="0" eb="2">
      <t>シリョウ</t>
    </rPh>
    <phoneticPr fontId="1"/>
  </si>
  <si>
    <t>試料545</t>
    <rPh sb="0" eb="2">
      <t>シリョウ</t>
    </rPh>
    <phoneticPr fontId="1"/>
  </si>
  <si>
    <t>試料546</t>
    <rPh sb="0" eb="2">
      <t>シリョウ</t>
    </rPh>
    <phoneticPr fontId="1"/>
  </si>
  <si>
    <t>試料547</t>
    <rPh sb="0" eb="2">
      <t>シリョウ</t>
    </rPh>
    <phoneticPr fontId="1"/>
  </si>
  <si>
    <t>試料548</t>
    <rPh sb="0" eb="2">
      <t>シリョウ</t>
    </rPh>
    <phoneticPr fontId="1"/>
  </si>
  <si>
    <t>Zeolites, 9, 363-370 (1989).</t>
    <phoneticPr fontId="1"/>
  </si>
  <si>
    <t>Norwahyu Jusoh et al</t>
    <phoneticPr fontId="1"/>
  </si>
  <si>
    <t>Journal of Cleaner Production 166, 1043-1058 (2017).</t>
    <phoneticPr fontId="1"/>
  </si>
  <si>
    <t>Hydrothermal synthesis of hierarchical zeolite T aggregates using tetramethylammonium hydroxide as single templete</t>
    <phoneticPr fontId="1"/>
  </si>
  <si>
    <t>Xiaoyan Yin et al</t>
    <phoneticPr fontId="1"/>
  </si>
  <si>
    <t>Microporous and Mesoporous Materials, 201, 247-257 (2015).</t>
    <phoneticPr fontId="1"/>
  </si>
  <si>
    <t>Journal of Materials Processing Technology, 206, 445-452(2008)</t>
    <phoneticPr fontId="1"/>
  </si>
  <si>
    <t>Crystallization of “inorganic” ZSM-5 in the system K2O-Al2O3-SiO2-H2O</t>
    <phoneticPr fontId="1"/>
  </si>
  <si>
    <t>ECR-33:A STABILIZED　RARE－EARTH EXCHANGED Q TYPE ZEOLITE</t>
    <phoneticPr fontId="1"/>
  </si>
  <si>
    <t>David E. W</t>
    <phoneticPr fontId="1"/>
  </si>
  <si>
    <t xml:space="preserve">US Patent 5,382,420 (1995). </t>
    <phoneticPr fontId="1"/>
  </si>
  <si>
    <t>Crystallization of JBW, CAN, SOD and ABW type zeolite from transformation of meta-kaolin</t>
    <phoneticPr fontId="1"/>
  </si>
  <si>
    <t>De-Chang Lin et al</t>
    <phoneticPr fontId="1"/>
  </si>
  <si>
    <t>Microporous and mesoporous Material, 70, 63-70 (2004).</t>
    <phoneticPr fontId="1"/>
  </si>
  <si>
    <t>Physicochemical characterization of a synthetic merlinoite (Linde W-like) zeolite containing Na, K, and Sr cations</t>
    <phoneticPr fontId="1"/>
  </si>
  <si>
    <t>A.A.Belhekar, A.J. Chandwadkar, S.G. Hegde</t>
    <phoneticPr fontId="1"/>
  </si>
  <si>
    <t>zeolites, 15, 535-539 (1995).</t>
    <phoneticPr fontId="1"/>
  </si>
  <si>
    <t>Synthesis and characterization of phi-type zeolites LZ-276 and LZ-277: faulted members of the ABC-D6R family of zeolites</t>
    <phoneticPr fontId="1"/>
  </si>
  <si>
    <t>Microporous and Mesoporous Materials 30, 335-346 (1999).</t>
    <phoneticPr fontId="1"/>
  </si>
  <si>
    <t>Synthesis Strategies for Ultrastable Zeolite GIS Polymorphs as Sorbents for Selective Separations</t>
    <phoneticPr fontId="1"/>
  </si>
  <si>
    <t>Dr. Matthew Dr. Oleksiak, Dr.Arian Ghorbanpour, Dr. Marlon T. Conato, Dr.B. Peter McGrail, Dr. Lars C. Grabow, DR. Radha Kishan Motkuri, Dr. Jeffrey D. Rimer</t>
    <phoneticPr fontId="1"/>
  </si>
  <si>
    <t>chemistry a Europen Journal, 22, 16078-16088 (2016).</t>
    <phoneticPr fontId="1"/>
  </si>
  <si>
    <t>High silica zeolite Phi, a CHA type zeolite with ABC-D6R stacking faults</t>
    <phoneticPr fontId="1"/>
  </si>
  <si>
    <t>Xiaobo Yang, Xiangyun Zhao, Jianming Xiao, Qun Fan, Runnong, Lin Yu</t>
  </si>
  <si>
    <t>Microporous and Mesoporous Maerials, 248, 129-138 (2017).</t>
  </si>
  <si>
    <t>Intergrowth Zeolites, Synthesis, Characterization, and Catalysis</t>
    <phoneticPr fontId="1"/>
  </si>
  <si>
    <t>Uanhua Wang, Chengzheng Tong, Qingling Liu, Rui Han, and Caixia Liu.</t>
    <phoneticPr fontId="1"/>
  </si>
  <si>
    <t>Chemical Reviews (2023).</t>
    <phoneticPr fontId="1"/>
  </si>
  <si>
    <t>Highly Cooperative CO 2 Adsorption via a Cation Crowding Mechanism on a Cesium-Exchanged Phillipsite Zeolite</t>
    <phoneticPr fontId="1"/>
  </si>
  <si>
    <t>Dr. Hyun June Choi, Elliott L.Bruce, Kevin S. Kencana, Jingeon Hong, Prof. Paul A. Writ, Prof.Suk Bong Hong, 62, e202305816(2023).</t>
    <phoneticPr fontId="1"/>
  </si>
  <si>
    <t>Angewandte Chemie International Edition, 62</t>
    <phoneticPr fontId="1"/>
  </si>
  <si>
    <t>Thermal transformation of Na-LTA zeolite into low-carnegieite: The influence of residual sodium and aluminium species</t>
    <phoneticPr fontId="1"/>
  </si>
  <si>
    <t>A. Radulovic, V. Dondur, R. Dimitrijievic, D. Arandjelovic</t>
    <phoneticPr fontId="1"/>
  </si>
  <si>
    <t>Thermochimica Acta 511, 37-42 (2010).</t>
    <phoneticPr fontId="1"/>
  </si>
  <si>
    <t>Zeolite RHO</t>
    <phoneticPr fontId="1"/>
  </si>
  <si>
    <t>Harry E Robson</t>
    <phoneticPr fontId="1"/>
  </si>
  <si>
    <t>US3904738A</t>
  </si>
  <si>
    <t>Untied Staes Patent</t>
    <phoneticPr fontId="1"/>
  </si>
  <si>
    <t>Harry E. Robson</t>
    <phoneticPr fontId="1"/>
  </si>
  <si>
    <t>US3720753</t>
  </si>
  <si>
    <t>Steam-dealuminated, OSDA-free RHO and KFI-type zeolites as catalysts for the methanol-to-olefins reaction</t>
    <phoneticPr fontId="1"/>
  </si>
  <si>
    <t>Yuewei Ji, John Birmingam, Mark A. Deimund, Stephen K. Brand, Mark E. Davis</t>
    <phoneticPr fontId="1"/>
  </si>
  <si>
    <t>Microporous and Mesoporous Materials 232, 126 (2016).</t>
    <phoneticPr fontId="1"/>
  </si>
  <si>
    <t>Low-temperature methanol dehydration to dimethyl ether over various small-pore zeolites</t>
    <phoneticPr fontId="1"/>
  </si>
  <si>
    <t>Dilshad Masih, Sahani Rohani, Junko N. Kondo, Tatsumi Takashi</t>
    <phoneticPr fontId="1"/>
  </si>
  <si>
    <t>Applied Catalysus B : Environmental, 217, 247-255 (2017).</t>
    <phoneticPr fontId="1"/>
  </si>
  <si>
    <t>Nanosol precursor as structural promoter for clinoptilolite via hydrothermal synthesis and resulting effects on selective adsorption of CH4 and N2</t>
    <phoneticPr fontId="1"/>
  </si>
  <si>
    <t>Teng Ouyang, Chengwei Zhai, Jihong Sun, Hamida Panezai, Shiyang Bai</t>
    <phoneticPr fontId="1"/>
  </si>
  <si>
    <t>Microporous and Mesoporous Materials 294,  109913(2020).</t>
    <phoneticPr fontId="1"/>
  </si>
  <si>
    <t>Stellerite-seeded facile synthesis of zeolite X with excellent aqueous Cd2+ and Ni2+ adsorption performance</t>
    <phoneticPr fontId="1"/>
  </si>
  <si>
    <t>Yinchang Pei, Shengpeng Mo, Qinglin Xie, Nanchun Chen, Zhongxin Yang, Lili Huang, Lili Ma</t>
  </si>
  <si>
    <t>Chinese Journal of Chemical Engineering</t>
    <phoneticPr fontId="1"/>
  </si>
  <si>
    <t>Crystallization of single phase (K, Na)-clinoptilolite</t>
    <phoneticPr fontId="1"/>
  </si>
  <si>
    <t>Synthesis of mordenite with different SiO2/Al2O3 ratios</t>
    <phoneticPr fontId="1"/>
  </si>
  <si>
    <t>Z. Hurem, D.Vucelic, V. Markovic</t>
    <phoneticPr fontId="1"/>
  </si>
  <si>
    <t>zeolites, 13, 145-148 (1993).</t>
    <phoneticPr fontId="1"/>
  </si>
  <si>
    <t>Zeolite crystallization from high-silica mono- or bicationic alkali (Li, Na or K) gels in presence and in absence of TPA ions</t>
    <phoneticPr fontId="1"/>
  </si>
  <si>
    <t>R. Aiello, F. Crea, A. Nastro, C. Pellegrino</t>
    <phoneticPr fontId="1"/>
  </si>
  <si>
    <t>Zeolites, 7, 549-553 (1987).</t>
    <phoneticPr fontId="1"/>
  </si>
  <si>
    <t>Preparation of Zeolite A Tubes from Amorphous Aluminosilicate Extrudates</t>
    <phoneticPr fontId="1"/>
  </si>
  <si>
    <t>Aysenur Ozcan, Halil Kalipcilar</t>
    <phoneticPr fontId="1"/>
  </si>
  <si>
    <t>Industrial and Engineering chemistry Research, 14, 4977-4984 (2006).</t>
    <phoneticPr fontId="1"/>
  </si>
  <si>
    <t>Controlled growth of Faujasite zeolite with NaX topology by manipulating solution aging and Na2O/Al2O3 ratios</t>
    <phoneticPr fontId="1"/>
  </si>
  <si>
    <t>Liyana Salwa Mohd Nazir, Yin Fong Yeong, Thiam Leng Chew</t>
    <phoneticPr fontId="1"/>
  </si>
  <si>
    <t>Colloids and Surfaces A: Physicochemical and Engineering Aspect, 600, 124803 (2020).</t>
    <phoneticPr fontId="1"/>
  </si>
  <si>
    <t>Microporous and Mesoporous Materials, 294, 109913 (2020).</t>
    <phoneticPr fontId="1"/>
  </si>
  <si>
    <t>Crystallization of zeolite L from Na2O–K2O–Al2O3–SiO2–H2O system</t>
    <phoneticPr fontId="1"/>
  </si>
  <si>
    <t>Yong Sig Ko, Eha Seung Ahn</t>
    <phoneticPr fontId="1"/>
  </si>
  <si>
    <t>Powder techology 145, 10-19 (2004).</t>
    <phoneticPr fontId="1"/>
  </si>
  <si>
    <t>The influence of reactants and Al/Ga/Si ratios on the synthesis of CGS structured zeolites</t>
    <phoneticPr fontId="1"/>
  </si>
  <si>
    <t>Karl G. Strohmainer, David E.W. Vaughan, Baoshan Zhang, 104, 248-256 (2007).</t>
    <phoneticPr fontId="1"/>
  </si>
  <si>
    <t>Organic structure-directing agent-free synthesis of NES-type zeolites using EU-1 seed crystals</t>
    <phoneticPr fontId="1"/>
  </si>
  <si>
    <t>Kenta Iyoki, Masafumi Takase, Keiji, Itabashi, Koki Muraoka, Watcharop Chaikittisilp, Takuya Okubo</t>
    <phoneticPr fontId="1"/>
  </si>
  <si>
    <t>Microporous and Mesoporous Materials, 215, 191-198 (2015).</t>
    <phoneticPr fontId="1"/>
  </si>
  <si>
    <t>High temperature hydrothermal crystallization, morphology and yield control of zeolite type K-LTL</t>
    <phoneticPr fontId="1"/>
  </si>
  <si>
    <t>S. D. Bhat, P.S. Niphadkar, S. V. Awate, A.A. Belhekar, P.N. Joshi</t>
    <phoneticPr fontId="1"/>
  </si>
  <si>
    <t>Microporous and Materials 76, 81-89 (2004).</t>
    <phoneticPr fontId="1"/>
  </si>
  <si>
    <t>Toward the Synthesis of New Zeolite Structures in the Presence of Cesium: Zeolite MMU-1</t>
    <phoneticPr fontId="1"/>
  </si>
  <si>
    <t>Lubomira Tosheva, Krassimir Garbev, Gray J. Miller, and Boriana Mihailova</t>
    <phoneticPr fontId="1"/>
  </si>
  <si>
    <t>Crystal growth and Design, 5, 3834-3844 (2023).</t>
    <phoneticPr fontId="1"/>
  </si>
  <si>
    <t>HSIL-Based Synthesis of Ultracrystalline K,Na-JBW, a Zeolite Exhibiting Exceptional Framework Ordering and Flexibility</t>
    <phoneticPr fontId="1"/>
  </si>
  <si>
    <t>Karel Asselman et al.</t>
    <phoneticPr fontId="1"/>
  </si>
  <si>
    <t>Chemistry of Materials, 16, 7159-7166 (2022).</t>
    <phoneticPr fontId="1"/>
  </si>
  <si>
    <t>Direct synthesis of nanosized CHA zeolite free of organic template by a combination of cations as structure directing agents</t>
    <phoneticPr fontId="1"/>
  </si>
  <si>
    <t>Maxime Debost et al.</t>
    <phoneticPr fontId="1"/>
  </si>
  <si>
    <t>Microporous and Mesoporous Materials 358, 112337 (2023).</t>
    <phoneticPr fontId="1"/>
  </si>
  <si>
    <t>Synthesis of long zeolite-L crystals with flat facets</t>
    <phoneticPr fontId="1"/>
  </si>
  <si>
    <t>Yun-jo Lee, et al.</t>
    <phoneticPr fontId="1"/>
  </si>
  <si>
    <t>Microporous and mesoporous Materials 80, 237-246 (2005).</t>
    <phoneticPr fontId="1"/>
  </si>
  <si>
    <t>Potassium merlinoite: crystallization, structural and thermal properties</t>
    <phoneticPr fontId="1"/>
  </si>
  <si>
    <t>Birte Marie Skofteland et al.</t>
    <phoneticPr fontId="1"/>
  </si>
  <si>
    <t>Microporous and mesoporous Materials, 43, 61-71, (2001).</t>
    <phoneticPr fontId="1"/>
  </si>
  <si>
    <t>Catalytic dehydration of methanol over synthetic zeolite W</t>
    <phoneticPr fontId="1"/>
  </si>
  <si>
    <t>Yeong-Hui SeO et al.</t>
    <phoneticPr fontId="1"/>
  </si>
  <si>
    <t>Preparation of T-type zeolite membranes using a dip-coating seeding suspension containing colloidal SiO2</t>
    <phoneticPr fontId="1"/>
  </si>
  <si>
    <t>Xuerui Wang et al.</t>
    <phoneticPr fontId="1"/>
  </si>
  <si>
    <t>Microporous and Mesoporous Materials 197, 17-25 (2014).</t>
    <phoneticPr fontId="1"/>
  </si>
  <si>
    <t>Assembly and Evolution of Amorphous Precursors in Zeolite L Crystallization</t>
    <phoneticPr fontId="1"/>
  </si>
  <si>
    <t>Manjesh Kumar et al.</t>
    <phoneticPr fontId="1"/>
  </si>
  <si>
    <t>Chemistry of Materials, 28, 1714-1727 (2016).</t>
    <phoneticPr fontId="1"/>
  </si>
  <si>
    <t>Unveiling the Catalytic Role of Zeolite P1 in Carbonylation Reaction</t>
    <phoneticPr fontId="1"/>
  </si>
  <si>
    <t>Jiaqi Fan et al.</t>
    <phoneticPr fontId="1"/>
  </si>
  <si>
    <t>Chem and Bio Engineering, 1, 141-149 (2024).</t>
    <phoneticPr fontId="1"/>
  </si>
  <si>
    <t>Jinfeng Han et al.</t>
    <phoneticPr fontId="1"/>
  </si>
  <si>
    <t>J. Am. Chem. Soc, 146, 7605-7615 (2024).</t>
    <phoneticPr fontId="1"/>
  </si>
  <si>
    <t>Morphology-Controlled Synthesis of Zeolite and Physicochemical Properties</t>
    <phoneticPr fontId="1"/>
  </si>
  <si>
    <t>Junling Zhan et al.</t>
    <phoneticPr fontId="1"/>
  </si>
  <si>
    <t>Catalysts, 14, 375, (2024).</t>
    <phoneticPr fontId="1"/>
  </si>
  <si>
    <t>Intergrowth of Zeolites LTA and FAU/EMT in Nanosized Particles Synthesized from Organic-Free Gels</t>
    <phoneticPr fontId="1"/>
  </si>
  <si>
    <t>Maryam Khaleel et al.</t>
    <phoneticPr fontId="1"/>
  </si>
  <si>
    <t>Cryst. Growth, 23, 3104-3112 (2023).</t>
    <phoneticPr fontId="1"/>
  </si>
  <si>
    <t>Template free facile synthesis of mesoporous mordenite for bulky molecular catalytic reactions</t>
    <phoneticPr fontId="1"/>
  </si>
  <si>
    <r>
      <t>Deep removal of trace C</t>
    </r>
    <r>
      <rPr>
        <b/>
        <vertAlign val="subscript"/>
        <sz val="9"/>
        <color theme="1"/>
        <rFont val="Arial"/>
        <family val="2"/>
      </rPr>
      <t>2</t>
    </r>
    <r>
      <rPr>
        <b/>
        <sz val="9"/>
        <color theme="1"/>
        <rFont val="Arial"/>
        <family val="2"/>
      </rPr>
      <t>H</t>
    </r>
    <r>
      <rPr>
        <b/>
        <vertAlign val="subscript"/>
        <sz val="9"/>
        <color theme="1"/>
        <rFont val="Arial"/>
        <family val="2"/>
      </rPr>
      <t>2</t>
    </r>
    <r>
      <rPr>
        <b/>
        <sz val="9"/>
        <color theme="1"/>
        <rFont val="Arial"/>
        <family val="2"/>
      </rPr>
      <t> and CO</t>
    </r>
    <r>
      <rPr>
        <b/>
        <vertAlign val="subscript"/>
        <sz val="9"/>
        <color theme="1"/>
        <rFont val="Arial"/>
        <family val="2"/>
      </rPr>
      <t>2</t>
    </r>
    <r>
      <rPr>
        <b/>
        <sz val="9"/>
        <color theme="1"/>
        <rFont val="Arial"/>
        <family val="2"/>
      </rPr>
      <t> from C</t>
    </r>
    <r>
      <rPr>
        <b/>
        <vertAlign val="subscript"/>
        <sz val="9"/>
        <color theme="1"/>
        <rFont val="Arial"/>
        <family val="2"/>
      </rPr>
      <t>2</t>
    </r>
    <r>
      <rPr>
        <b/>
        <sz val="9"/>
        <color theme="1"/>
        <rFont val="Arial"/>
        <family val="2"/>
      </rPr>
      <t>H</t>
    </r>
    <r>
      <rPr>
        <b/>
        <vertAlign val="subscript"/>
        <sz val="9"/>
        <color theme="1"/>
        <rFont val="Arial"/>
        <family val="2"/>
      </rPr>
      <t>4</t>
    </r>
    <r>
      <rPr>
        <b/>
        <sz val="9"/>
        <color theme="1"/>
        <rFont val="Arial"/>
        <family val="2"/>
      </rPr>
      <t> by using customized potassium-exchange mordenite</t>
    </r>
    <phoneticPr fontId="1"/>
  </si>
  <si>
    <t>Synthesis of MOR Zeolite from Natural Stellerite and Clinoptilolite for Efficient Pb2+ and Cd2+ Removal from Aqueous Solutions</t>
    <phoneticPr fontId="1"/>
  </si>
  <si>
    <t>Bhupendra Kumar Singh et al</t>
    <phoneticPr fontId="1"/>
  </si>
  <si>
    <t>Journal of Industrial and Engineering Chemistry 57, 363-369 (2018).</t>
    <phoneticPr fontId="1"/>
  </si>
  <si>
    <t>Hongwei Chen et al.</t>
    <phoneticPr fontId="1"/>
  </si>
  <si>
    <t>Chemical Science 14, 7068-7075, (2023).</t>
    <phoneticPr fontId="1"/>
  </si>
  <si>
    <t>Crystallization of potassium-zeolites in organic-free media</t>
  </si>
  <si>
    <t>Junyao Pan et al</t>
    <phoneticPr fontId="1"/>
  </si>
  <si>
    <t>Crystal Gowth, 25, 2484-2497 (2025).</t>
    <phoneticPr fontId="1"/>
  </si>
  <si>
    <t>Yik-Ken Ma</t>
    <phoneticPr fontId="1"/>
  </si>
  <si>
    <t>Microporous and Mesoporous Materials, 311, 110683(2021).</t>
    <phoneticPr fontId="1"/>
  </si>
  <si>
    <t>Organic-Free Synthesis of a Highly Siliceous Faujasite Zeolite with Spatially-Biased Q4(nAl) Si Speciation</t>
    <phoneticPr fontId="1"/>
  </si>
  <si>
    <t>Dr. Matthew</t>
    <phoneticPr fontId="1"/>
  </si>
  <si>
    <t>Angewandte Chemie International Edition 56, 13366-13371, (2017).</t>
    <phoneticPr fontId="1"/>
  </si>
  <si>
    <t>Synthesis and characteristic properties of siliceous mordenite</t>
    <phoneticPr fontId="1"/>
  </si>
  <si>
    <t>Keiji Itabashi et al</t>
    <phoneticPr fontId="1"/>
  </si>
  <si>
    <t>Zeolite 6, 30-34 (1986).</t>
    <phoneticPr fontId="1"/>
  </si>
  <si>
    <t>Assembly and Evolution of Amorphous Precursors in Zeolite L Crystallization</t>
  </si>
  <si>
    <t>Manjesh Kumar et al</t>
    <phoneticPr fontId="1"/>
  </si>
  <si>
    <t>Chemistry of Materials 28, 1714-1727 (2016).</t>
    <phoneticPr fontId="1"/>
  </si>
  <si>
    <t>Siew-Fang Wang et al</t>
    <phoneticPr fontId="1"/>
  </si>
  <si>
    <t>Microporous and Mesoporous Materials, 249, 105-110 (2017).</t>
    <phoneticPr fontId="1"/>
  </si>
  <si>
    <t>Motohiro Isobe et al</t>
    <phoneticPr fontId="1"/>
  </si>
  <si>
    <t>Microporous and Mesoporous Materials, 158, 204-208 (2012).</t>
    <phoneticPr fontId="1"/>
  </si>
  <si>
    <t>Kenta Iyoki et al</t>
    <phoneticPr fontId="1"/>
  </si>
  <si>
    <t>Microporous and Mesoporous Material, 215, 191-198 (2015).</t>
    <phoneticPr fontId="1"/>
  </si>
  <si>
    <t>Barrie M. Lowe</t>
    <phoneticPr fontId="1"/>
  </si>
  <si>
    <t>Zeolites, 14, 610-619</t>
    <phoneticPr fontId="1"/>
  </si>
  <si>
    <t>Shiego Satogawa et al</t>
    <phoneticPr fontId="1"/>
  </si>
  <si>
    <t>Microporous material, 8, 49-55, (1997).</t>
    <phoneticPr fontId="1"/>
  </si>
  <si>
    <t>Effect of framework Si/Al ratio on the mechanism of CO2 adsorption on the small-pore zeolite gismondine</t>
    <phoneticPr fontId="1"/>
  </si>
  <si>
    <t>Hyun June Choi et al.</t>
    <phoneticPr fontId="1"/>
  </si>
  <si>
    <t>Chemical Engineering Journal 433, 133800 (2022).</t>
    <phoneticPr fontId="1"/>
  </si>
  <si>
    <t>Mathavee Sathupunya et al</t>
    <phoneticPr fontId="1"/>
  </si>
  <si>
    <t>journal of the European Ceramic Society, 22, 2305-2314 (2002).</t>
    <phoneticPr fontId="1"/>
  </si>
  <si>
    <t>Barrie M. Lowe et al</t>
    <phoneticPr fontId="1"/>
  </si>
  <si>
    <t>zeolites, 14, 610-619 (1994).</t>
    <phoneticPr fontId="1"/>
  </si>
  <si>
    <t>Shigeo Satogawa et al.</t>
    <phoneticPr fontId="1"/>
  </si>
  <si>
    <t>Microporous Materials, 8, 49-55</t>
    <phoneticPr fontId="1"/>
  </si>
  <si>
    <t>Journal of Industrial and Engineering Chemistry, 57, 363-369 (2018).</t>
    <phoneticPr fontId="1"/>
  </si>
  <si>
    <t>Hongwei Chen et al</t>
    <phoneticPr fontId="1"/>
  </si>
  <si>
    <t>chemical Science, 25, 7068-7075 (2023).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</si>
</sst>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ＭＳ 明朝"/>
      <family val="1"/>
      <charset val="128"/>
    </font>
    <font>
      <sz val="11"/>
      <color theme="1"/>
      <name val="游ゴシック"/>
      <family val="3"/>
      <charset val="128"/>
      <scheme val="minor"/>
    </font>
    <font>
      <sz val="10.5"/>
      <color theme="1"/>
      <name val="游明朝"/>
      <family val="1"/>
      <charset val="128"/>
    </font>
    <font>
      <u/>
      <sz val="11"/>
      <color theme="10"/>
      <name val="游ゴシック"/>
      <family val="2"/>
      <charset val="128"/>
      <scheme val="minor"/>
    </font>
    <font>
      <sz val="11"/>
      <color theme="10"/>
      <name val="游ゴシック"/>
      <family val="2"/>
      <charset val="128"/>
      <scheme val="minor"/>
    </font>
    <font>
      <sz val="11"/>
      <color rgb="FF1F1F1F"/>
      <name val="Georgia"/>
      <family val="1"/>
    </font>
    <font>
      <sz val="10"/>
      <color rgb="FF1F1F1F"/>
      <name val="Georgia"/>
      <family val="1"/>
    </font>
    <font>
      <sz val="10"/>
      <color theme="1"/>
      <name val="Arial"/>
      <family val="2"/>
    </font>
    <font>
      <sz val="10"/>
      <color rgb="FF1F1F1F"/>
      <name val="游ゴシック"/>
      <family val="3"/>
      <charset val="128"/>
      <scheme val="minor"/>
    </font>
    <font>
      <sz val="15"/>
      <color rgb="FFFFFFFF"/>
      <name val="Arial"/>
      <family val="2"/>
    </font>
    <font>
      <sz val="9"/>
      <color rgb="FF1F1F1F"/>
      <name val="Georgia"/>
      <family val="1"/>
    </font>
    <font>
      <sz val="11"/>
      <color rgb="FF151515"/>
      <name val="Arial"/>
      <family val="2"/>
    </font>
    <font>
      <sz val="10"/>
      <color rgb="FF151515"/>
      <name val="Arial"/>
      <family val="2"/>
    </font>
    <font>
      <i/>
      <sz val="10"/>
      <color rgb="FF151515"/>
      <name val="Arial"/>
      <family val="2"/>
    </font>
    <font>
      <b/>
      <sz val="9"/>
      <color theme="1"/>
      <name val="Segoe UI"/>
      <family val="2"/>
    </font>
    <font>
      <b/>
      <sz val="9"/>
      <color theme="1"/>
      <name val="Arial"/>
      <family val="2"/>
    </font>
    <font>
      <b/>
      <vertAlign val="subscript"/>
      <sz val="9"/>
      <color theme="1"/>
      <name val="Arial"/>
      <family val="2"/>
    </font>
    <font>
      <sz val="10"/>
      <color theme="1"/>
      <name val="游ゴシック"/>
      <family val="2"/>
      <charset val="128"/>
      <scheme val="minor"/>
    </font>
    <font>
      <sz val="9"/>
      <color theme="1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6" fillId="0" borderId="0" xfId="1" applyFont="1" applyAlignment="1">
      <alignment vertical="center"/>
    </xf>
    <xf numFmtId="0" fontId="5" fillId="0" borderId="0" xfId="1" applyAlignment="1">
      <alignment vertical="center"/>
    </xf>
    <xf numFmtId="0" fontId="0" fillId="0" borderId="0" xfId="0" applyAlignment="1"/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9" fillId="0" borderId="0" xfId="0" applyFont="1" applyAlignment="1">
      <alignment horizontal="center"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0" fontId="9" fillId="0" borderId="0" xfId="0" applyFont="1">
      <alignment vertical="center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1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4" fillId="0" borderId="0" xfId="0" applyFont="1">
      <alignment vertical="center"/>
    </xf>
    <xf numFmtId="0" fontId="16" fillId="0" borderId="0" xfId="0" applyFont="1">
      <alignment vertical="center"/>
    </xf>
    <xf numFmtId="0" fontId="17" fillId="0" borderId="0" xfId="0" applyFont="1">
      <alignment vertical="center"/>
    </xf>
    <xf numFmtId="0" fontId="19" fillId="0" borderId="0" xfId="0" applyFont="1">
      <alignment vertical="center"/>
    </xf>
    <xf numFmtId="0" fontId="20" fillId="0" borderId="0" xfId="0" applyFont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9E295-AA3B-4065-AE24-33713C9C37E4}">
  <dimension ref="A1:R549"/>
  <sheetViews>
    <sheetView tabSelected="1" topLeftCell="G409" zoomScale="90" zoomScaleNormal="90" workbookViewId="0">
      <selection activeCell="Q425" sqref="Q425"/>
    </sheetView>
  </sheetViews>
  <sheetFormatPr defaultRowHeight="18.75" x14ac:dyDescent="0.4"/>
  <sheetData>
    <row r="1" spans="1:1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725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</row>
    <row r="2" spans="1:16" x14ac:dyDescent="0.4">
      <c r="A2" t="s">
        <v>12</v>
      </c>
      <c r="B2">
        <v>1.8</v>
      </c>
      <c r="C2">
        <v>1.8</v>
      </c>
      <c r="D2">
        <v>173</v>
      </c>
      <c r="E2">
        <v>10</v>
      </c>
      <c r="K2">
        <v>65</v>
      </c>
      <c r="L2">
        <f>24*7</f>
        <v>168</v>
      </c>
      <c r="M2" t="s">
        <v>13</v>
      </c>
      <c r="N2" t="s">
        <v>14</v>
      </c>
      <c r="O2" t="s">
        <v>15</v>
      </c>
      <c r="P2" t="s">
        <v>16</v>
      </c>
    </row>
    <row r="3" spans="1:16" x14ac:dyDescent="0.4">
      <c r="A3" t="s">
        <v>17</v>
      </c>
      <c r="B3">
        <v>3.6</v>
      </c>
      <c r="C3">
        <v>0.9</v>
      </c>
      <c r="D3">
        <v>173</v>
      </c>
      <c r="E3">
        <v>10</v>
      </c>
      <c r="K3">
        <v>65</v>
      </c>
      <c r="L3">
        <f>7*24</f>
        <v>168</v>
      </c>
      <c r="M3" t="s">
        <v>18</v>
      </c>
    </row>
    <row r="4" spans="1:16" x14ac:dyDescent="0.4">
      <c r="A4" t="s">
        <v>19</v>
      </c>
      <c r="B4">
        <v>1.6</v>
      </c>
      <c r="C4">
        <v>1.5</v>
      </c>
      <c r="D4">
        <v>173</v>
      </c>
      <c r="E4">
        <v>10</v>
      </c>
      <c r="K4">
        <v>100</v>
      </c>
      <c r="L4">
        <v>168</v>
      </c>
      <c r="M4" t="s">
        <v>20</v>
      </c>
    </row>
    <row r="5" spans="1:16" x14ac:dyDescent="0.4">
      <c r="A5" t="s">
        <v>21</v>
      </c>
      <c r="B5">
        <v>7.4</v>
      </c>
      <c r="C5">
        <v>2.4</v>
      </c>
      <c r="D5">
        <v>173</v>
      </c>
      <c r="E5">
        <v>10</v>
      </c>
      <c r="K5">
        <v>100</v>
      </c>
      <c r="L5">
        <v>168</v>
      </c>
      <c r="M5" t="s">
        <v>22</v>
      </c>
    </row>
    <row r="6" spans="1:16" x14ac:dyDescent="0.4">
      <c r="A6" t="s">
        <v>23</v>
      </c>
      <c r="B6">
        <v>25</v>
      </c>
      <c r="C6">
        <v>0.8</v>
      </c>
      <c r="D6">
        <v>646</v>
      </c>
      <c r="E6">
        <v>10</v>
      </c>
      <c r="K6">
        <v>175</v>
      </c>
      <c r="L6">
        <f>3*24</f>
        <v>72</v>
      </c>
      <c r="M6" t="s">
        <v>24</v>
      </c>
    </row>
    <row r="7" spans="1:16" x14ac:dyDescent="0.4">
      <c r="A7" t="s">
        <v>25</v>
      </c>
      <c r="B7">
        <v>2.5</v>
      </c>
      <c r="C7">
        <v>0.3</v>
      </c>
      <c r="D7">
        <v>505</v>
      </c>
      <c r="F7">
        <v>10</v>
      </c>
      <c r="K7">
        <v>180</v>
      </c>
      <c r="L7">
        <f>4*24</f>
        <v>96</v>
      </c>
      <c r="M7" t="s">
        <v>26</v>
      </c>
    </row>
    <row r="8" spans="1:16" x14ac:dyDescent="0.4">
      <c r="A8" t="s">
        <v>27</v>
      </c>
      <c r="B8">
        <v>9.8000000000000007</v>
      </c>
      <c r="C8">
        <v>0.3</v>
      </c>
      <c r="D8">
        <v>505</v>
      </c>
      <c r="F8">
        <v>10</v>
      </c>
      <c r="K8">
        <v>180</v>
      </c>
      <c r="L8">
        <v>72</v>
      </c>
      <c r="M8" t="s">
        <v>28</v>
      </c>
    </row>
    <row r="9" spans="1:16" x14ac:dyDescent="0.4">
      <c r="A9" t="s">
        <v>29</v>
      </c>
      <c r="B9">
        <v>3.6</v>
      </c>
      <c r="C9">
        <v>1.7</v>
      </c>
      <c r="D9">
        <v>173</v>
      </c>
      <c r="E9">
        <v>10</v>
      </c>
      <c r="K9">
        <v>180</v>
      </c>
      <c r="L9">
        <f>24*21</f>
        <v>504</v>
      </c>
      <c r="M9" t="s">
        <v>30</v>
      </c>
    </row>
    <row r="10" spans="1:16" x14ac:dyDescent="0.4">
      <c r="A10" t="s">
        <v>31</v>
      </c>
      <c r="B10">
        <v>5.5</v>
      </c>
      <c r="C10">
        <v>1.2</v>
      </c>
      <c r="D10">
        <v>173</v>
      </c>
      <c r="E10">
        <v>10</v>
      </c>
      <c r="K10">
        <v>180</v>
      </c>
      <c r="L10">
        <f>24*21</f>
        <v>504</v>
      </c>
      <c r="M10" t="s">
        <v>32</v>
      </c>
    </row>
    <row r="11" spans="1:16" x14ac:dyDescent="0.4">
      <c r="A11" t="s">
        <v>33</v>
      </c>
      <c r="B11">
        <v>38.5</v>
      </c>
      <c r="C11">
        <v>0.4</v>
      </c>
      <c r="D11">
        <v>1760</v>
      </c>
      <c r="E11">
        <v>10</v>
      </c>
      <c r="K11">
        <v>190</v>
      </c>
      <c r="L11">
        <v>24</v>
      </c>
      <c r="M11" t="s">
        <v>34</v>
      </c>
    </row>
    <row r="12" spans="1:16" x14ac:dyDescent="0.4">
      <c r="A12" t="s">
        <v>35</v>
      </c>
      <c r="B12">
        <v>7.5</v>
      </c>
      <c r="C12">
        <v>4.8</v>
      </c>
      <c r="D12">
        <v>173</v>
      </c>
      <c r="E12">
        <v>10</v>
      </c>
      <c r="K12">
        <v>230</v>
      </c>
      <c r="L12">
        <f>24*7</f>
        <v>168</v>
      </c>
      <c r="M12" t="s">
        <v>36</v>
      </c>
    </row>
    <row r="13" spans="1:16" x14ac:dyDescent="0.4">
      <c r="A13" t="s">
        <v>37</v>
      </c>
      <c r="B13">
        <v>0.59</v>
      </c>
      <c r="C13">
        <v>0.3</v>
      </c>
      <c r="D13">
        <v>66</v>
      </c>
      <c r="E13">
        <v>11</v>
      </c>
      <c r="K13">
        <v>65</v>
      </c>
      <c r="L13">
        <v>168</v>
      </c>
      <c r="M13" t="s">
        <v>20</v>
      </c>
      <c r="N13" t="s">
        <v>38</v>
      </c>
      <c r="O13" t="s">
        <v>39</v>
      </c>
      <c r="P13" t="s">
        <v>40</v>
      </c>
    </row>
    <row r="14" spans="1:16" x14ac:dyDescent="0.4">
      <c r="A14" t="s">
        <v>41</v>
      </c>
      <c r="B14">
        <v>1.04</v>
      </c>
      <c r="C14">
        <v>1.04</v>
      </c>
      <c r="D14">
        <v>66</v>
      </c>
      <c r="E14">
        <v>11</v>
      </c>
      <c r="K14">
        <v>65</v>
      </c>
      <c r="L14">
        <v>168</v>
      </c>
      <c r="M14" t="s">
        <v>20</v>
      </c>
    </row>
    <row r="15" spans="1:16" x14ac:dyDescent="0.4">
      <c r="A15" t="s">
        <v>42</v>
      </c>
      <c r="B15">
        <v>1.55</v>
      </c>
      <c r="C15">
        <v>0.3</v>
      </c>
      <c r="D15">
        <v>66</v>
      </c>
      <c r="E15">
        <v>11</v>
      </c>
      <c r="K15">
        <v>65</v>
      </c>
      <c r="L15">
        <v>168</v>
      </c>
      <c r="M15" t="s">
        <v>20</v>
      </c>
    </row>
    <row r="16" spans="1:16" x14ac:dyDescent="0.4">
      <c r="A16" t="s">
        <v>43</v>
      </c>
      <c r="B16">
        <v>2.68</v>
      </c>
      <c r="C16">
        <v>2.68</v>
      </c>
      <c r="D16">
        <v>66</v>
      </c>
      <c r="E16">
        <v>11</v>
      </c>
      <c r="K16">
        <v>65</v>
      </c>
      <c r="L16">
        <v>168</v>
      </c>
      <c r="M16" t="s">
        <v>20</v>
      </c>
    </row>
    <row r="17" spans="1:13" x14ac:dyDescent="0.4">
      <c r="A17" t="s">
        <v>44</v>
      </c>
      <c r="B17">
        <v>3.86</v>
      </c>
      <c r="C17">
        <v>1.29</v>
      </c>
      <c r="D17">
        <v>66</v>
      </c>
      <c r="E17">
        <v>11</v>
      </c>
      <c r="K17">
        <v>65</v>
      </c>
      <c r="L17">
        <v>168</v>
      </c>
      <c r="M17" t="s">
        <v>20</v>
      </c>
    </row>
    <row r="18" spans="1:13" x14ac:dyDescent="0.4">
      <c r="A18" t="s">
        <v>45</v>
      </c>
      <c r="B18">
        <v>4.01</v>
      </c>
      <c r="C18">
        <v>0.56000000000000005</v>
      </c>
      <c r="D18">
        <v>66</v>
      </c>
      <c r="E18">
        <v>11</v>
      </c>
      <c r="K18">
        <v>65</v>
      </c>
      <c r="L18">
        <v>168</v>
      </c>
      <c r="M18" t="s">
        <v>20</v>
      </c>
    </row>
    <row r="19" spans="1:13" x14ac:dyDescent="0.4">
      <c r="A19" t="s">
        <v>46</v>
      </c>
      <c r="B19">
        <v>0.6</v>
      </c>
      <c r="C19">
        <v>0.3</v>
      </c>
      <c r="D19">
        <v>190</v>
      </c>
      <c r="E19">
        <v>11</v>
      </c>
      <c r="K19">
        <v>65</v>
      </c>
      <c r="L19">
        <v>168</v>
      </c>
      <c r="M19" t="s">
        <v>18</v>
      </c>
    </row>
    <row r="20" spans="1:13" x14ac:dyDescent="0.4">
      <c r="A20" t="s">
        <v>47</v>
      </c>
      <c r="B20">
        <v>3</v>
      </c>
      <c r="C20">
        <v>1</v>
      </c>
      <c r="D20">
        <v>190</v>
      </c>
      <c r="E20">
        <v>11</v>
      </c>
      <c r="K20">
        <v>65</v>
      </c>
      <c r="L20">
        <v>168</v>
      </c>
      <c r="M20" t="s">
        <v>18</v>
      </c>
    </row>
    <row r="21" spans="1:13" x14ac:dyDescent="0.4">
      <c r="A21" t="s">
        <v>48</v>
      </c>
      <c r="B21">
        <v>4</v>
      </c>
      <c r="C21">
        <v>1</v>
      </c>
      <c r="D21">
        <v>190</v>
      </c>
      <c r="E21">
        <v>11</v>
      </c>
      <c r="K21">
        <v>65</v>
      </c>
      <c r="L21">
        <v>168</v>
      </c>
      <c r="M21" t="s">
        <v>18</v>
      </c>
    </row>
    <row r="22" spans="1:13" x14ac:dyDescent="0.4">
      <c r="A22" t="s">
        <v>49</v>
      </c>
      <c r="B22">
        <v>5</v>
      </c>
      <c r="C22">
        <v>1</v>
      </c>
      <c r="D22">
        <v>190</v>
      </c>
      <c r="E22">
        <v>11</v>
      </c>
      <c r="K22">
        <v>65</v>
      </c>
      <c r="L22">
        <v>168</v>
      </c>
      <c r="M22" t="s">
        <v>18</v>
      </c>
    </row>
    <row r="23" spans="1:13" x14ac:dyDescent="0.4">
      <c r="A23" t="s">
        <v>50</v>
      </c>
      <c r="B23">
        <v>7.3</v>
      </c>
      <c r="C23">
        <v>1.85</v>
      </c>
      <c r="D23">
        <v>190</v>
      </c>
      <c r="E23">
        <v>11</v>
      </c>
      <c r="K23">
        <v>65</v>
      </c>
      <c r="L23">
        <v>168</v>
      </c>
      <c r="M23" t="s">
        <v>18</v>
      </c>
    </row>
    <row r="24" spans="1:13" x14ac:dyDescent="0.4">
      <c r="A24" t="s">
        <v>51</v>
      </c>
      <c r="B24">
        <v>7.33</v>
      </c>
      <c r="C24">
        <v>0.91</v>
      </c>
      <c r="D24">
        <v>190</v>
      </c>
      <c r="E24">
        <v>11</v>
      </c>
      <c r="K24">
        <v>65</v>
      </c>
      <c r="L24">
        <v>168</v>
      </c>
      <c r="M24" t="s">
        <v>18</v>
      </c>
    </row>
    <row r="25" spans="1:13" x14ac:dyDescent="0.4">
      <c r="A25" t="s">
        <v>52</v>
      </c>
      <c r="B25">
        <v>0.87</v>
      </c>
      <c r="C25">
        <v>0.79</v>
      </c>
      <c r="D25">
        <v>190</v>
      </c>
      <c r="E25">
        <v>11</v>
      </c>
      <c r="K25">
        <v>65</v>
      </c>
      <c r="L25">
        <v>168</v>
      </c>
      <c r="M25" t="s">
        <v>13</v>
      </c>
    </row>
    <row r="26" spans="1:13" x14ac:dyDescent="0.4">
      <c r="A26" t="s">
        <v>53</v>
      </c>
      <c r="B26">
        <v>1</v>
      </c>
      <c r="C26">
        <v>1</v>
      </c>
      <c r="D26">
        <v>190</v>
      </c>
      <c r="E26">
        <v>11</v>
      </c>
      <c r="K26">
        <v>65</v>
      </c>
      <c r="L26">
        <v>168</v>
      </c>
      <c r="M26" t="s">
        <v>13</v>
      </c>
    </row>
    <row r="27" spans="1:13" x14ac:dyDescent="0.4">
      <c r="A27" t="s">
        <v>54</v>
      </c>
      <c r="B27">
        <v>2</v>
      </c>
      <c r="C27">
        <v>1</v>
      </c>
      <c r="D27">
        <v>190</v>
      </c>
      <c r="E27">
        <v>11</v>
      </c>
      <c r="K27">
        <v>65</v>
      </c>
      <c r="L27">
        <v>168</v>
      </c>
      <c r="M27" t="s">
        <v>13</v>
      </c>
    </row>
    <row r="28" spans="1:13" x14ac:dyDescent="0.4">
      <c r="A28" t="s">
        <v>55</v>
      </c>
      <c r="B28">
        <v>3.7</v>
      </c>
      <c r="C28">
        <v>1.85</v>
      </c>
      <c r="D28">
        <v>190</v>
      </c>
      <c r="E28">
        <v>11</v>
      </c>
      <c r="K28">
        <v>65</v>
      </c>
      <c r="L28">
        <v>168</v>
      </c>
      <c r="M28" t="s">
        <v>13</v>
      </c>
    </row>
    <row r="29" spans="1:13" x14ac:dyDescent="0.4">
      <c r="A29" t="s">
        <v>56</v>
      </c>
      <c r="B29">
        <v>4</v>
      </c>
      <c r="C29">
        <v>3</v>
      </c>
      <c r="D29">
        <v>190</v>
      </c>
      <c r="E29">
        <v>11</v>
      </c>
      <c r="K29">
        <v>65</v>
      </c>
      <c r="L29">
        <v>168</v>
      </c>
      <c r="M29" t="s">
        <v>13</v>
      </c>
    </row>
    <row r="30" spans="1:13" x14ac:dyDescent="0.4">
      <c r="A30" t="s">
        <v>57</v>
      </c>
      <c r="B30">
        <v>2.2000000000000002</v>
      </c>
      <c r="C30">
        <v>2</v>
      </c>
      <c r="D30">
        <v>190</v>
      </c>
      <c r="E30">
        <v>11</v>
      </c>
      <c r="K30">
        <v>65</v>
      </c>
      <c r="L30">
        <v>168</v>
      </c>
      <c r="M30" t="s">
        <v>13</v>
      </c>
    </row>
    <row r="31" spans="1:13" x14ac:dyDescent="0.4">
      <c r="A31" t="s">
        <v>58</v>
      </c>
      <c r="B31">
        <v>5.5</v>
      </c>
      <c r="C31">
        <v>3</v>
      </c>
      <c r="D31">
        <v>190</v>
      </c>
      <c r="E31">
        <v>11</v>
      </c>
      <c r="K31">
        <v>65</v>
      </c>
      <c r="L31">
        <v>168</v>
      </c>
      <c r="M31" t="s">
        <v>13</v>
      </c>
    </row>
    <row r="32" spans="1:13" x14ac:dyDescent="0.4">
      <c r="A32" t="s">
        <v>59</v>
      </c>
      <c r="B32">
        <v>7.33</v>
      </c>
      <c r="C32">
        <v>5.5</v>
      </c>
      <c r="D32">
        <v>190</v>
      </c>
      <c r="E32">
        <v>11</v>
      </c>
      <c r="K32">
        <v>65</v>
      </c>
      <c r="L32">
        <v>168</v>
      </c>
      <c r="M32" t="s">
        <v>13</v>
      </c>
    </row>
    <row r="33" spans="1:13" x14ac:dyDescent="0.4">
      <c r="A33" t="s">
        <v>60</v>
      </c>
      <c r="B33">
        <v>7.33</v>
      </c>
      <c r="C33">
        <v>4.13</v>
      </c>
      <c r="D33">
        <v>190</v>
      </c>
      <c r="E33">
        <v>11</v>
      </c>
      <c r="K33">
        <v>65</v>
      </c>
      <c r="L33">
        <v>168</v>
      </c>
      <c r="M33" t="s">
        <v>13</v>
      </c>
    </row>
    <row r="34" spans="1:13" x14ac:dyDescent="0.4">
      <c r="A34" t="s">
        <v>61</v>
      </c>
      <c r="B34">
        <v>1</v>
      </c>
      <c r="C34">
        <v>1</v>
      </c>
      <c r="D34">
        <v>190</v>
      </c>
      <c r="E34">
        <v>11</v>
      </c>
      <c r="K34">
        <v>80</v>
      </c>
      <c r="L34">
        <v>168</v>
      </c>
      <c r="M34" t="s">
        <v>13</v>
      </c>
    </row>
    <row r="35" spans="1:13" x14ac:dyDescent="0.4">
      <c r="A35" t="s">
        <v>62</v>
      </c>
      <c r="B35">
        <v>3</v>
      </c>
      <c r="C35">
        <v>1</v>
      </c>
      <c r="D35">
        <v>190</v>
      </c>
      <c r="E35">
        <v>11</v>
      </c>
      <c r="K35">
        <v>80</v>
      </c>
      <c r="L35">
        <v>168</v>
      </c>
      <c r="M35" t="s">
        <v>18</v>
      </c>
    </row>
    <row r="36" spans="1:13" x14ac:dyDescent="0.4">
      <c r="A36" t="s">
        <v>63</v>
      </c>
      <c r="B36">
        <v>4</v>
      </c>
      <c r="C36">
        <v>1</v>
      </c>
      <c r="D36">
        <v>190</v>
      </c>
      <c r="E36">
        <v>11</v>
      </c>
      <c r="K36">
        <v>80</v>
      </c>
      <c r="L36">
        <v>168</v>
      </c>
      <c r="M36" t="s">
        <v>18</v>
      </c>
    </row>
    <row r="37" spans="1:13" x14ac:dyDescent="0.4">
      <c r="A37" t="s">
        <v>64</v>
      </c>
      <c r="B37">
        <v>5</v>
      </c>
      <c r="C37">
        <v>1</v>
      </c>
      <c r="D37">
        <v>190</v>
      </c>
      <c r="E37">
        <v>11</v>
      </c>
      <c r="K37">
        <v>80</v>
      </c>
      <c r="L37">
        <v>168</v>
      </c>
      <c r="M37" t="s">
        <v>18</v>
      </c>
    </row>
    <row r="38" spans="1:13" x14ac:dyDescent="0.4">
      <c r="A38" t="s">
        <v>65</v>
      </c>
      <c r="B38">
        <v>1</v>
      </c>
      <c r="C38">
        <v>1</v>
      </c>
      <c r="D38">
        <v>190</v>
      </c>
      <c r="E38">
        <v>11</v>
      </c>
      <c r="K38">
        <v>100</v>
      </c>
      <c r="L38">
        <v>168</v>
      </c>
      <c r="M38" t="s">
        <v>20</v>
      </c>
    </row>
    <row r="39" spans="1:13" x14ac:dyDescent="0.4">
      <c r="A39" t="s">
        <v>66</v>
      </c>
      <c r="B39">
        <v>1.8</v>
      </c>
      <c r="C39">
        <v>1.7</v>
      </c>
      <c r="D39">
        <v>190</v>
      </c>
      <c r="E39">
        <v>11</v>
      </c>
      <c r="K39">
        <v>100</v>
      </c>
      <c r="L39">
        <v>168</v>
      </c>
      <c r="M39" t="s">
        <v>20</v>
      </c>
    </row>
    <row r="40" spans="1:13" x14ac:dyDescent="0.4">
      <c r="A40" t="s">
        <v>67</v>
      </c>
      <c r="B40">
        <v>4</v>
      </c>
      <c r="C40">
        <v>1</v>
      </c>
      <c r="D40">
        <v>190</v>
      </c>
      <c r="E40">
        <v>11</v>
      </c>
      <c r="K40">
        <v>100</v>
      </c>
      <c r="L40">
        <v>168</v>
      </c>
      <c r="M40" t="s">
        <v>22</v>
      </c>
    </row>
    <row r="41" spans="1:13" x14ac:dyDescent="0.4">
      <c r="A41" t="s">
        <v>68</v>
      </c>
      <c r="B41">
        <v>5</v>
      </c>
      <c r="C41">
        <v>1</v>
      </c>
      <c r="D41">
        <v>190</v>
      </c>
      <c r="E41">
        <v>11</v>
      </c>
      <c r="K41">
        <v>100</v>
      </c>
      <c r="L41">
        <v>168</v>
      </c>
      <c r="M41" t="s">
        <v>22</v>
      </c>
    </row>
    <row r="42" spans="1:13" x14ac:dyDescent="0.4">
      <c r="A42" t="s">
        <v>69</v>
      </c>
      <c r="B42">
        <v>5.8</v>
      </c>
      <c r="C42">
        <v>1.65</v>
      </c>
      <c r="D42">
        <v>190</v>
      </c>
      <c r="E42">
        <v>11</v>
      </c>
      <c r="K42">
        <v>100</v>
      </c>
      <c r="L42">
        <v>168</v>
      </c>
      <c r="M42" t="s">
        <v>22</v>
      </c>
    </row>
    <row r="43" spans="1:13" x14ac:dyDescent="0.4">
      <c r="A43" t="s">
        <v>70</v>
      </c>
      <c r="B43">
        <v>1</v>
      </c>
      <c r="C43">
        <v>1</v>
      </c>
      <c r="D43">
        <v>190</v>
      </c>
      <c r="E43">
        <v>11</v>
      </c>
      <c r="K43">
        <v>180</v>
      </c>
      <c r="L43">
        <f>21*24</f>
        <v>504</v>
      </c>
      <c r="M43" t="s">
        <v>30</v>
      </c>
    </row>
    <row r="44" spans="1:13" x14ac:dyDescent="0.4">
      <c r="A44" t="s">
        <v>71</v>
      </c>
      <c r="B44">
        <v>1.6</v>
      </c>
      <c r="C44">
        <v>0.2</v>
      </c>
      <c r="D44">
        <v>190</v>
      </c>
      <c r="E44">
        <v>11</v>
      </c>
      <c r="K44">
        <v>180</v>
      </c>
      <c r="L44">
        <f t="shared" ref="L44:L60" si="0">21*24</f>
        <v>504</v>
      </c>
      <c r="M44" t="s">
        <v>30</v>
      </c>
    </row>
    <row r="45" spans="1:13" x14ac:dyDescent="0.4">
      <c r="A45" t="s">
        <v>72</v>
      </c>
      <c r="B45">
        <v>2</v>
      </c>
      <c r="C45">
        <v>1</v>
      </c>
      <c r="D45">
        <v>190</v>
      </c>
      <c r="E45">
        <v>11</v>
      </c>
      <c r="K45">
        <v>180</v>
      </c>
      <c r="L45">
        <f t="shared" si="0"/>
        <v>504</v>
      </c>
      <c r="M45" t="s">
        <v>30</v>
      </c>
    </row>
    <row r="46" spans="1:13" x14ac:dyDescent="0.4">
      <c r="A46" t="s">
        <v>73</v>
      </c>
      <c r="B46">
        <v>2.5</v>
      </c>
      <c r="C46">
        <v>0.15</v>
      </c>
      <c r="D46">
        <v>190</v>
      </c>
      <c r="E46">
        <v>11</v>
      </c>
      <c r="K46">
        <v>180</v>
      </c>
      <c r="L46">
        <f t="shared" si="0"/>
        <v>504</v>
      </c>
      <c r="M46" t="s">
        <v>30</v>
      </c>
    </row>
    <row r="47" spans="1:13" x14ac:dyDescent="0.4">
      <c r="A47" t="s">
        <v>74</v>
      </c>
      <c r="B47">
        <v>3</v>
      </c>
      <c r="C47">
        <v>1</v>
      </c>
      <c r="D47">
        <v>190</v>
      </c>
      <c r="E47">
        <v>11</v>
      </c>
      <c r="K47">
        <v>180</v>
      </c>
      <c r="L47">
        <f t="shared" si="0"/>
        <v>504</v>
      </c>
      <c r="M47" t="s">
        <v>30</v>
      </c>
    </row>
    <row r="48" spans="1:13" x14ac:dyDescent="0.4">
      <c r="A48" t="s">
        <v>75</v>
      </c>
      <c r="B48">
        <v>3.2</v>
      </c>
      <c r="C48">
        <v>0.45500000000000002</v>
      </c>
      <c r="D48">
        <v>190</v>
      </c>
      <c r="E48">
        <v>11</v>
      </c>
      <c r="K48">
        <v>180</v>
      </c>
      <c r="L48">
        <f t="shared" si="0"/>
        <v>504</v>
      </c>
      <c r="M48" t="s">
        <v>30</v>
      </c>
    </row>
    <row r="49" spans="1:13" x14ac:dyDescent="0.4">
      <c r="A49" t="s">
        <v>76</v>
      </c>
      <c r="B49">
        <v>4</v>
      </c>
      <c r="C49">
        <v>1</v>
      </c>
      <c r="D49">
        <v>190</v>
      </c>
      <c r="E49">
        <v>11</v>
      </c>
      <c r="K49">
        <v>180</v>
      </c>
      <c r="L49">
        <f t="shared" si="0"/>
        <v>504</v>
      </c>
      <c r="M49" t="s">
        <v>30</v>
      </c>
    </row>
    <row r="50" spans="1:13" x14ac:dyDescent="0.4">
      <c r="A50" t="s">
        <v>77</v>
      </c>
      <c r="B50">
        <v>4</v>
      </c>
      <c r="C50">
        <v>1.9</v>
      </c>
      <c r="D50">
        <v>190</v>
      </c>
      <c r="E50">
        <v>11</v>
      </c>
      <c r="K50">
        <v>180</v>
      </c>
      <c r="L50">
        <f t="shared" si="0"/>
        <v>504</v>
      </c>
      <c r="M50" t="s">
        <v>30</v>
      </c>
    </row>
    <row r="51" spans="1:13" x14ac:dyDescent="0.4">
      <c r="A51" t="s">
        <v>78</v>
      </c>
      <c r="B51">
        <v>5.4</v>
      </c>
      <c r="C51">
        <v>2.6</v>
      </c>
      <c r="D51">
        <v>190</v>
      </c>
      <c r="E51">
        <v>11</v>
      </c>
      <c r="K51">
        <v>180</v>
      </c>
      <c r="L51">
        <f t="shared" si="0"/>
        <v>504</v>
      </c>
      <c r="M51" t="s">
        <v>30</v>
      </c>
    </row>
    <row r="52" spans="1:13" x14ac:dyDescent="0.4">
      <c r="A52" t="s">
        <v>79</v>
      </c>
      <c r="B52">
        <v>1.65</v>
      </c>
      <c r="C52">
        <v>0.375</v>
      </c>
      <c r="D52">
        <v>190</v>
      </c>
      <c r="E52">
        <v>11</v>
      </c>
      <c r="K52">
        <v>180</v>
      </c>
      <c r="L52">
        <f t="shared" si="0"/>
        <v>504</v>
      </c>
      <c r="M52" t="s">
        <v>32</v>
      </c>
    </row>
    <row r="53" spans="1:13" x14ac:dyDescent="0.4">
      <c r="A53" t="s">
        <v>80</v>
      </c>
      <c r="B53">
        <v>4.0999999999999996</v>
      </c>
      <c r="C53">
        <v>2.5000000000000001E-3</v>
      </c>
      <c r="D53">
        <v>190</v>
      </c>
      <c r="E53">
        <v>11</v>
      </c>
      <c r="K53">
        <v>180</v>
      </c>
      <c r="L53">
        <f t="shared" si="0"/>
        <v>504</v>
      </c>
      <c r="M53" t="s">
        <v>32</v>
      </c>
    </row>
    <row r="54" spans="1:13" x14ac:dyDescent="0.4">
      <c r="A54" t="s">
        <v>81</v>
      </c>
      <c r="B54">
        <v>4.0999999999999996</v>
      </c>
      <c r="C54">
        <v>0.05</v>
      </c>
      <c r="D54">
        <v>190</v>
      </c>
      <c r="E54">
        <v>11</v>
      </c>
      <c r="K54">
        <v>180</v>
      </c>
      <c r="L54">
        <f t="shared" si="0"/>
        <v>504</v>
      </c>
      <c r="M54" t="s">
        <v>32</v>
      </c>
    </row>
    <row r="55" spans="1:13" x14ac:dyDescent="0.4">
      <c r="A55" t="s">
        <v>82</v>
      </c>
      <c r="B55">
        <v>4.0999999999999996</v>
      </c>
      <c r="C55">
        <v>0.15</v>
      </c>
      <c r="D55">
        <v>190</v>
      </c>
      <c r="E55">
        <v>11</v>
      </c>
      <c r="K55">
        <v>180</v>
      </c>
      <c r="L55">
        <f t="shared" si="0"/>
        <v>504</v>
      </c>
      <c r="M55" t="s">
        <v>32</v>
      </c>
    </row>
    <row r="56" spans="1:13" x14ac:dyDescent="0.4">
      <c r="A56" t="s">
        <v>83</v>
      </c>
      <c r="B56">
        <v>5.4</v>
      </c>
      <c r="C56">
        <v>0.51500000000000001</v>
      </c>
      <c r="D56">
        <v>190</v>
      </c>
      <c r="E56">
        <v>11</v>
      </c>
      <c r="K56">
        <v>180</v>
      </c>
      <c r="L56">
        <f t="shared" si="0"/>
        <v>504</v>
      </c>
      <c r="M56" t="s">
        <v>32</v>
      </c>
    </row>
    <row r="57" spans="1:13" x14ac:dyDescent="0.4">
      <c r="A57" t="s">
        <v>84</v>
      </c>
      <c r="B57">
        <v>6.1</v>
      </c>
      <c r="C57">
        <v>1.25</v>
      </c>
      <c r="D57">
        <v>190</v>
      </c>
      <c r="E57">
        <v>11</v>
      </c>
      <c r="K57">
        <v>180</v>
      </c>
      <c r="L57">
        <f t="shared" si="0"/>
        <v>504</v>
      </c>
      <c r="M57" t="s">
        <v>32</v>
      </c>
    </row>
    <row r="58" spans="1:13" x14ac:dyDescent="0.4">
      <c r="A58" t="s">
        <v>85</v>
      </c>
      <c r="B58">
        <v>7</v>
      </c>
      <c r="C58">
        <v>0.35</v>
      </c>
      <c r="D58">
        <v>190</v>
      </c>
      <c r="E58">
        <v>11</v>
      </c>
      <c r="K58">
        <v>180</v>
      </c>
      <c r="L58">
        <f t="shared" si="0"/>
        <v>504</v>
      </c>
      <c r="M58" t="s">
        <v>32</v>
      </c>
    </row>
    <row r="59" spans="1:13" x14ac:dyDescent="0.4">
      <c r="A59" t="s">
        <v>86</v>
      </c>
      <c r="B59">
        <v>7.1</v>
      </c>
      <c r="C59">
        <v>0.9</v>
      </c>
      <c r="D59">
        <v>190</v>
      </c>
      <c r="E59">
        <v>11</v>
      </c>
      <c r="K59">
        <v>180</v>
      </c>
      <c r="L59">
        <f t="shared" si="0"/>
        <v>504</v>
      </c>
      <c r="M59" t="s">
        <v>32</v>
      </c>
    </row>
    <row r="60" spans="1:13" x14ac:dyDescent="0.4">
      <c r="A60" t="s">
        <v>87</v>
      </c>
      <c r="B60">
        <v>7.5</v>
      </c>
      <c r="C60">
        <v>1.55</v>
      </c>
      <c r="D60">
        <v>190</v>
      </c>
      <c r="E60">
        <v>11</v>
      </c>
      <c r="K60">
        <v>180</v>
      </c>
      <c r="L60">
        <f t="shared" si="0"/>
        <v>504</v>
      </c>
      <c r="M60" t="s">
        <v>32</v>
      </c>
    </row>
    <row r="61" spans="1:13" x14ac:dyDescent="0.4">
      <c r="A61" t="s">
        <v>88</v>
      </c>
      <c r="B61">
        <v>0.59</v>
      </c>
      <c r="C61">
        <v>0.3</v>
      </c>
      <c r="D61">
        <v>348</v>
      </c>
      <c r="E61">
        <v>11</v>
      </c>
      <c r="K61">
        <v>65</v>
      </c>
      <c r="L61">
        <f>7*24</f>
        <v>168</v>
      </c>
      <c r="M61" t="s">
        <v>18</v>
      </c>
    </row>
    <row r="62" spans="1:13" x14ac:dyDescent="0.4">
      <c r="A62" t="s">
        <v>89</v>
      </c>
      <c r="B62">
        <v>1.55</v>
      </c>
      <c r="C62">
        <v>0.3</v>
      </c>
      <c r="D62">
        <v>348</v>
      </c>
      <c r="E62">
        <v>11</v>
      </c>
      <c r="K62">
        <v>65</v>
      </c>
      <c r="L62">
        <f t="shared" ref="L62:L68" si="1">7*24</f>
        <v>168</v>
      </c>
      <c r="M62" t="s">
        <v>18</v>
      </c>
    </row>
    <row r="63" spans="1:13" x14ac:dyDescent="0.4">
      <c r="A63" t="s">
        <v>90</v>
      </c>
      <c r="B63">
        <v>4.58</v>
      </c>
      <c r="C63">
        <v>0.59</v>
      </c>
      <c r="D63">
        <v>348</v>
      </c>
      <c r="E63">
        <v>11</v>
      </c>
      <c r="K63">
        <v>65</v>
      </c>
      <c r="L63">
        <f t="shared" si="1"/>
        <v>168</v>
      </c>
      <c r="M63" t="s">
        <v>18</v>
      </c>
    </row>
    <row r="64" spans="1:13" x14ac:dyDescent="0.4">
      <c r="A64" t="s">
        <v>91</v>
      </c>
      <c r="B64">
        <v>7.33</v>
      </c>
      <c r="C64">
        <v>0.92</v>
      </c>
      <c r="D64">
        <v>348</v>
      </c>
      <c r="E64">
        <v>11</v>
      </c>
      <c r="K64">
        <v>65</v>
      </c>
      <c r="L64">
        <f t="shared" si="1"/>
        <v>168</v>
      </c>
      <c r="M64" t="s">
        <v>18</v>
      </c>
    </row>
    <row r="65" spans="1:16" x14ac:dyDescent="0.4">
      <c r="A65" t="s">
        <v>92</v>
      </c>
      <c r="B65">
        <v>1.01</v>
      </c>
      <c r="C65">
        <v>1.08</v>
      </c>
      <c r="D65">
        <v>348</v>
      </c>
      <c r="E65">
        <v>11</v>
      </c>
      <c r="K65">
        <v>65</v>
      </c>
      <c r="L65">
        <f t="shared" si="1"/>
        <v>168</v>
      </c>
      <c r="M65" t="s">
        <v>13</v>
      </c>
    </row>
    <row r="66" spans="1:16" x14ac:dyDescent="0.4">
      <c r="A66" t="s">
        <v>93</v>
      </c>
      <c r="B66">
        <v>2.66</v>
      </c>
      <c r="C66">
        <v>2.66</v>
      </c>
      <c r="D66">
        <v>348</v>
      </c>
      <c r="E66">
        <v>11</v>
      </c>
      <c r="K66">
        <v>65</v>
      </c>
      <c r="L66">
        <f t="shared" si="1"/>
        <v>168</v>
      </c>
      <c r="M66" t="s">
        <v>13</v>
      </c>
    </row>
    <row r="67" spans="1:16" x14ac:dyDescent="0.4">
      <c r="A67" t="s">
        <v>94</v>
      </c>
      <c r="B67">
        <v>7.33</v>
      </c>
      <c r="C67">
        <v>4.13</v>
      </c>
      <c r="D67">
        <v>348</v>
      </c>
      <c r="E67">
        <v>11</v>
      </c>
      <c r="K67">
        <v>65</v>
      </c>
      <c r="L67">
        <f t="shared" si="1"/>
        <v>168</v>
      </c>
      <c r="M67" t="s">
        <v>13</v>
      </c>
    </row>
    <row r="68" spans="1:16" x14ac:dyDescent="0.4">
      <c r="A68" t="s">
        <v>95</v>
      </c>
      <c r="B68">
        <v>7.33</v>
      </c>
      <c r="C68">
        <v>5.5</v>
      </c>
      <c r="D68">
        <v>348</v>
      </c>
      <c r="E68">
        <v>11</v>
      </c>
      <c r="K68">
        <v>65</v>
      </c>
      <c r="L68">
        <f t="shared" si="1"/>
        <v>168</v>
      </c>
      <c r="M68" t="s">
        <v>13</v>
      </c>
    </row>
    <row r="69" spans="1:16" x14ac:dyDescent="0.4">
      <c r="A69" t="s">
        <v>96</v>
      </c>
      <c r="B69">
        <v>1.55</v>
      </c>
      <c r="C69">
        <v>0.3</v>
      </c>
      <c r="D69">
        <v>66</v>
      </c>
      <c r="E69">
        <v>11</v>
      </c>
      <c r="K69">
        <v>65</v>
      </c>
      <c r="L69">
        <v>4</v>
      </c>
      <c r="M69" t="s">
        <v>20</v>
      </c>
    </row>
    <row r="70" spans="1:16" x14ac:dyDescent="0.4">
      <c r="A70" t="s">
        <v>97</v>
      </c>
      <c r="B70">
        <v>2</v>
      </c>
      <c r="C70">
        <v>0.25</v>
      </c>
      <c r="D70">
        <v>95</v>
      </c>
      <c r="E70">
        <v>11</v>
      </c>
      <c r="K70">
        <v>65</v>
      </c>
      <c r="L70">
        <v>168</v>
      </c>
      <c r="M70" t="s">
        <v>20</v>
      </c>
    </row>
    <row r="71" spans="1:16" x14ac:dyDescent="0.4">
      <c r="A71" t="s">
        <v>98</v>
      </c>
      <c r="B71">
        <v>2</v>
      </c>
      <c r="C71">
        <v>0.625</v>
      </c>
      <c r="D71">
        <v>95</v>
      </c>
      <c r="E71">
        <v>11</v>
      </c>
      <c r="K71">
        <v>65</v>
      </c>
      <c r="L71">
        <v>168</v>
      </c>
      <c r="M71" t="s">
        <v>20</v>
      </c>
    </row>
    <row r="72" spans="1:16" x14ac:dyDescent="0.4">
      <c r="A72" t="s">
        <v>99</v>
      </c>
      <c r="B72">
        <v>2</v>
      </c>
      <c r="C72">
        <v>1</v>
      </c>
      <c r="D72">
        <v>95</v>
      </c>
      <c r="E72">
        <v>11</v>
      </c>
      <c r="K72">
        <v>65</v>
      </c>
      <c r="L72">
        <v>168</v>
      </c>
      <c r="M72" t="s">
        <v>20</v>
      </c>
    </row>
    <row r="73" spans="1:16" x14ac:dyDescent="0.4">
      <c r="A73" t="s">
        <v>100</v>
      </c>
      <c r="B73">
        <v>4</v>
      </c>
      <c r="C73">
        <v>1</v>
      </c>
      <c r="D73">
        <v>190</v>
      </c>
      <c r="E73">
        <v>11</v>
      </c>
      <c r="K73">
        <v>65</v>
      </c>
      <c r="L73">
        <v>6</v>
      </c>
      <c r="M73" t="s">
        <v>13</v>
      </c>
    </row>
    <row r="74" spans="1:16" x14ac:dyDescent="0.4">
      <c r="A74" t="s">
        <v>101</v>
      </c>
      <c r="B74">
        <v>4</v>
      </c>
      <c r="C74">
        <v>1</v>
      </c>
      <c r="D74">
        <v>190</v>
      </c>
      <c r="E74">
        <v>11</v>
      </c>
      <c r="K74">
        <v>65</v>
      </c>
      <c r="L74">
        <v>24</v>
      </c>
      <c r="M74" t="s">
        <v>18</v>
      </c>
    </row>
    <row r="75" spans="1:16" x14ac:dyDescent="0.4">
      <c r="A75" t="s">
        <v>102</v>
      </c>
      <c r="B75">
        <v>0.15</v>
      </c>
      <c r="C75">
        <v>0.4</v>
      </c>
      <c r="D75">
        <v>98</v>
      </c>
      <c r="F75">
        <v>3</v>
      </c>
      <c r="K75">
        <v>64</v>
      </c>
      <c r="L75">
        <v>1440</v>
      </c>
      <c r="M75" t="s">
        <v>103</v>
      </c>
      <c r="N75" t="s">
        <v>104</v>
      </c>
      <c r="O75" t="s">
        <v>105</v>
      </c>
      <c r="P75" t="s">
        <v>106</v>
      </c>
    </row>
    <row r="76" spans="1:16" x14ac:dyDescent="0.4">
      <c r="A76" t="s">
        <v>107</v>
      </c>
      <c r="B76">
        <v>0.1</v>
      </c>
      <c r="C76">
        <v>0.3</v>
      </c>
      <c r="D76">
        <v>98</v>
      </c>
      <c r="F76">
        <v>3.2</v>
      </c>
      <c r="K76">
        <v>90</v>
      </c>
      <c r="L76">
        <v>168</v>
      </c>
      <c r="M76" t="s">
        <v>103</v>
      </c>
    </row>
    <row r="77" spans="1:16" x14ac:dyDescent="0.4">
      <c r="A77" t="s">
        <v>108</v>
      </c>
      <c r="B77">
        <v>0.1</v>
      </c>
      <c r="C77">
        <v>0.2</v>
      </c>
      <c r="D77">
        <v>98</v>
      </c>
      <c r="F77">
        <v>3.4</v>
      </c>
      <c r="K77">
        <v>90</v>
      </c>
      <c r="L77">
        <v>168</v>
      </c>
      <c r="M77" t="s">
        <v>103</v>
      </c>
    </row>
    <row r="78" spans="1:16" x14ac:dyDescent="0.4">
      <c r="A78" t="s">
        <v>109</v>
      </c>
      <c r="B78">
        <v>0.2</v>
      </c>
      <c r="C78">
        <v>0.6</v>
      </c>
      <c r="D78">
        <v>98</v>
      </c>
      <c r="F78">
        <v>2.4</v>
      </c>
      <c r="K78">
        <v>90</v>
      </c>
      <c r="L78">
        <v>168</v>
      </c>
      <c r="M78" t="s">
        <v>103</v>
      </c>
    </row>
    <row r="79" spans="1:16" x14ac:dyDescent="0.4">
      <c r="A79" t="s">
        <v>110</v>
      </c>
      <c r="B79">
        <v>20</v>
      </c>
      <c r="C79">
        <v>1</v>
      </c>
      <c r="D79">
        <v>200</v>
      </c>
      <c r="F79">
        <v>16</v>
      </c>
      <c r="K79">
        <v>170</v>
      </c>
      <c r="L79">
        <v>8</v>
      </c>
      <c r="M79" t="s">
        <v>28</v>
      </c>
      <c r="N79" t="s">
        <v>111</v>
      </c>
      <c r="O79" t="s">
        <v>112</v>
      </c>
      <c r="P79" t="s">
        <v>113</v>
      </c>
    </row>
    <row r="80" spans="1:16" x14ac:dyDescent="0.4">
      <c r="A80" t="s">
        <v>114</v>
      </c>
      <c r="B80">
        <v>20</v>
      </c>
      <c r="C80">
        <v>1</v>
      </c>
      <c r="D80">
        <v>500</v>
      </c>
      <c r="F80">
        <v>20</v>
      </c>
      <c r="K80">
        <v>170</v>
      </c>
      <c r="L80">
        <v>70</v>
      </c>
      <c r="M80" t="s">
        <v>28</v>
      </c>
      <c r="N80" t="s">
        <v>115</v>
      </c>
      <c r="O80" t="s">
        <v>116</v>
      </c>
      <c r="P80" t="s">
        <v>117</v>
      </c>
    </row>
    <row r="81" spans="1:16" x14ac:dyDescent="0.4">
      <c r="A81" t="s">
        <v>118</v>
      </c>
      <c r="B81">
        <v>30</v>
      </c>
      <c r="C81">
        <v>1</v>
      </c>
      <c r="D81">
        <v>1093</v>
      </c>
      <c r="F81">
        <v>27.2</v>
      </c>
      <c r="K81">
        <v>85</v>
      </c>
      <c r="L81">
        <v>504</v>
      </c>
      <c r="M81" t="s">
        <v>119</v>
      </c>
      <c r="N81" t="s">
        <v>120</v>
      </c>
      <c r="O81" t="s">
        <v>121</v>
      </c>
      <c r="P81" t="s">
        <v>122</v>
      </c>
    </row>
    <row r="82" spans="1:16" x14ac:dyDescent="0.4">
      <c r="A82" t="s">
        <v>123</v>
      </c>
      <c r="B82">
        <v>40</v>
      </c>
      <c r="C82">
        <v>1</v>
      </c>
      <c r="D82">
        <v>1093</v>
      </c>
      <c r="F82">
        <v>27.2</v>
      </c>
      <c r="K82">
        <v>85</v>
      </c>
      <c r="L82">
        <v>504</v>
      </c>
      <c r="M82" t="s">
        <v>119</v>
      </c>
    </row>
    <row r="83" spans="1:16" x14ac:dyDescent="0.4">
      <c r="A83" t="s">
        <v>124</v>
      </c>
      <c r="B83">
        <v>24.8</v>
      </c>
      <c r="C83">
        <v>3.6</v>
      </c>
      <c r="D83">
        <v>1093</v>
      </c>
      <c r="F83">
        <v>27.2</v>
      </c>
      <c r="K83">
        <v>85</v>
      </c>
      <c r="L83">
        <v>504</v>
      </c>
      <c r="M83" t="s">
        <v>119</v>
      </c>
    </row>
    <row r="84" spans="1:16" x14ac:dyDescent="0.4">
      <c r="A84" t="s">
        <v>125</v>
      </c>
      <c r="B84">
        <v>36.299999999999997</v>
      </c>
      <c r="C84">
        <v>4.5</v>
      </c>
      <c r="D84">
        <v>1093</v>
      </c>
      <c r="F84">
        <v>27.2</v>
      </c>
      <c r="K84">
        <v>85</v>
      </c>
      <c r="L84">
        <v>504</v>
      </c>
      <c r="M84" t="s">
        <v>119</v>
      </c>
    </row>
    <row r="85" spans="1:16" x14ac:dyDescent="0.4">
      <c r="A85" t="s">
        <v>126</v>
      </c>
      <c r="B85">
        <v>35</v>
      </c>
      <c r="C85">
        <v>7.8</v>
      </c>
      <c r="D85">
        <v>1093</v>
      </c>
      <c r="F85">
        <v>27.2</v>
      </c>
      <c r="K85">
        <v>85</v>
      </c>
      <c r="L85">
        <v>504</v>
      </c>
      <c r="M85" t="s">
        <v>119</v>
      </c>
    </row>
    <row r="86" spans="1:16" x14ac:dyDescent="0.4">
      <c r="A86" t="s">
        <v>127</v>
      </c>
      <c r="B86">
        <v>30</v>
      </c>
      <c r="C86">
        <v>1</v>
      </c>
      <c r="D86">
        <v>1093</v>
      </c>
      <c r="F86">
        <v>27.2</v>
      </c>
      <c r="K86">
        <v>85</v>
      </c>
      <c r="L86">
        <v>504</v>
      </c>
      <c r="M86" t="s">
        <v>28</v>
      </c>
    </row>
    <row r="87" spans="1:16" x14ac:dyDescent="0.4">
      <c r="A87" t="s">
        <v>128</v>
      </c>
      <c r="B87">
        <v>40</v>
      </c>
      <c r="C87">
        <v>1</v>
      </c>
      <c r="D87">
        <v>1093</v>
      </c>
      <c r="F87">
        <v>27.2</v>
      </c>
      <c r="K87">
        <v>85</v>
      </c>
      <c r="L87">
        <v>504</v>
      </c>
      <c r="M87" t="s">
        <v>28</v>
      </c>
    </row>
    <row r="88" spans="1:16" x14ac:dyDescent="0.4">
      <c r="A88" t="s">
        <v>129</v>
      </c>
      <c r="B88">
        <v>10</v>
      </c>
      <c r="C88">
        <v>1</v>
      </c>
      <c r="D88">
        <v>1093</v>
      </c>
      <c r="F88">
        <v>27.2</v>
      </c>
      <c r="K88">
        <v>120</v>
      </c>
      <c r="L88">
        <v>168</v>
      </c>
      <c r="M88" t="s">
        <v>26</v>
      </c>
    </row>
    <row r="89" spans="1:16" x14ac:dyDescent="0.4">
      <c r="A89" t="s">
        <v>130</v>
      </c>
      <c r="B89">
        <v>15</v>
      </c>
      <c r="C89">
        <v>1</v>
      </c>
      <c r="D89">
        <v>1093</v>
      </c>
      <c r="F89">
        <v>27.2</v>
      </c>
      <c r="K89">
        <v>120</v>
      </c>
      <c r="L89">
        <v>168</v>
      </c>
      <c r="M89" t="s">
        <v>26</v>
      </c>
    </row>
    <row r="90" spans="1:16" x14ac:dyDescent="0.4">
      <c r="A90" t="s">
        <v>131</v>
      </c>
      <c r="B90">
        <v>24.8</v>
      </c>
      <c r="C90">
        <v>3.6</v>
      </c>
      <c r="D90">
        <v>1093</v>
      </c>
      <c r="F90">
        <v>27.2</v>
      </c>
      <c r="K90">
        <v>120</v>
      </c>
      <c r="L90">
        <v>168</v>
      </c>
      <c r="M90" t="s">
        <v>26</v>
      </c>
    </row>
    <row r="91" spans="1:16" x14ac:dyDescent="0.4">
      <c r="A91" t="s">
        <v>132</v>
      </c>
      <c r="B91">
        <v>17.100000000000001</v>
      </c>
      <c r="C91">
        <v>3</v>
      </c>
      <c r="D91">
        <v>1093</v>
      </c>
      <c r="F91">
        <v>27.2</v>
      </c>
      <c r="K91">
        <v>120</v>
      </c>
      <c r="L91">
        <v>168</v>
      </c>
      <c r="M91" t="s">
        <v>26</v>
      </c>
    </row>
    <row r="92" spans="1:16" x14ac:dyDescent="0.4">
      <c r="A92" t="s">
        <v>133</v>
      </c>
      <c r="B92">
        <v>5</v>
      </c>
      <c r="C92">
        <v>1</v>
      </c>
      <c r="D92">
        <v>1093</v>
      </c>
      <c r="F92">
        <v>27.2</v>
      </c>
      <c r="K92">
        <v>120</v>
      </c>
      <c r="L92">
        <v>168</v>
      </c>
      <c r="M92" t="s">
        <v>134</v>
      </c>
    </row>
    <row r="93" spans="1:16" x14ac:dyDescent="0.4">
      <c r="A93" t="s">
        <v>135</v>
      </c>
      <c r="B93">
        <v>8.1</v>
      </c>
      <c r="C93">
        <v>2.6</v>
      </c>
      <c r="D93">
        <v>1093</v>
      </c>
      <c r="F93">
        <v>27.2</v>
      </c>
      <c r="K93">
        <v>120</v>
      </c>
      <c r="L93">
        <v>168</v>
      </c>
      <c r="M93" t="s">
        <v>134</v>
      </c>
    </row>
    <row r="94" spans="1:16" x14ac:dyDescent="0.4">
      <c r="A94" t="s">
        <v>136</v>
      </c>
      <c r="B94">
        <v>4.9000000000000004</v>
      </c>
      <c r="C94">
        <v>2.8</v>
      </c>
      <c r="D94">
        <v>1093</v>
      </c>
      <c r="F94">
        <v>27.2</v>
      </c>
      <c r="K94">
        <v>120</v>
      </c>
      <c r="L94">
        <v>168</v>
      </c>
      <c r="M94" t="s">
        <v>134</v>
      </c>
    </row>
    <row r="95" spans="1:16" x14ac:dyDescent="0.4">
      <c r="A95" t="s">
        <v>137</v>
      </c>
      <c r="B95">
        <v>3.9</v>
      </c>
      <c r="C95">
        <v>4.0999999999999996</v>
      </c>
      <c r="D95">
        <v>1093</v>
      </c>
      <c r="F95">
        <v>27.2</v>
      </c>
      <c r="K95">
        <v>120</v>
      </c>
      <c r="L95">
        <v>168</v>
      </c>
      <c r="M95" t="s">
        <v>134</v>
      </c>
    </row>
    <row r="96" spans="1:16" x14ac:dyDescent="0.4">
      <c r="A96" t="s">
        <v>138</v>
      </c>
      <c r="B96">
        <v>7.5</v>
      </c>
      <c r="C96">
        <v>4.5999999999999996</v>
      </c>
      <c r="D96">
        <v>1093</v>
      </c>
      <c r="F96">
        <v>27.2</v>
      </c>
      <c r="K96">
        <v>120</v>
      </c>
      <c r="L96">
        <v>168</v>
      </c>
      <c r="M96" t="s">
        <v>134</v>
      </c>
    </row>
    <row r="97" spans="1:13" x14ac:dyDescent="0.4">
      <c r="A97" t="s">
        <v>139</v>
      </c>
      <c r="B97">
        <v>30</v>
      </c>
      <c r="C97">
        <v>1</v>
      </c>
      <c r="D97">
        <v>1093</v>
      </c>
      <c r="F97">
        <v>27.2</v>
      </c>
      <c r="K97">
        <v>120</v>
      </c>
      <c r="L97">
        <v>168</v>
      </c>
      <c r="M97" t="s">
        <v>28</v>
      </c>
    </row>
    <row r="98" spans="1:13" x14ac:dyDescent="0.4">
      <c r="A98" t="s">
        <v>140</v>
      </c>
      <c r="B98">
        <v>40</v>
      </c>
      <c r="C98">
        <v>1</v>
      </c>
      <c r="D98">
        <v>1093</v>
      </c>
      <c r="F98">
        <v>27.2</v>
      </c>
      <c r="K98">
        <v>120</v>
      </c>
      <c r="L98">
        <v>168</v>
      </c>
      <c r="M98" t="s">
        <v>28</v>
      </c>
    </row>
    <row r="99" spans="1:13" x14ac:dyDescent="0.4">
      <c r="A99" t="s">
        <v>141</v>
      </c>
      <c r="B99">
        <v>7.4</v>
      </c>
      <c r="C99">
        <v>1.1000000000000001</v>
      </c>
      <c r="D99">
        <v>1093</v>
      </c>
      <c r="F99">
        <v>27.2</v>
      </c>
      <c r="K99">
        <v>120</v>
      </c>
      <c r="L99">
        <v>168</v>
      </c>
      <c r="M99" t="s">
        <v>119</v>
      </c>
    </row>
    <row r="100" spans="1:13" x14ac:dyDescent="0.4">
      <c r="A100" t="s">
        <v>142</v>
      </c>
      <c r="B100">
        <v>21.1</v>
      </c>
      <c r="C100">
        <v>6</v>
      </c>
      <c r="D100">
        <v>1093</v>
      </c>
      <c r="F100">
        <v>27.2</v>
      </c>
      <c r="K100">
        <v>120</v>
      </c>
      <c r="L100">
        <v>168</v>
      </c>
      <c r="M100" t="s">
        <v>119</v>
      </c>
    </row>
    <row r="101" spans="1:13" x14ac:dyDescent="0.4">
      <c r="A101" t="s">
        <v>143</v>
      </c>
      <c r="B101">
        <v>28.3</v>
      </c>
      <c r="C101">
        <v>8.5</v>
      </c>
      <c r="D101">
        <v>1093</v>
      </c>
      <c r="F101">
        <v>27.2</v>
      </c>
      <c r="K101">
        <v>120</v>
      </c>
      <c r="L101">
        <v>168</v>
      </c>
      <c r="M101" t="s">
        <v>119</v>
      </c>
    </row>
    <row r="102" spans="1:13" x14ac:dyDescent="0.4">
      <c r="A102" t="s">
        <v>144</v>
      </c>
      <c r="B102">
        <v>4.9000000000000004</v>
      </c>
      <c r="C102">
        <v>2.8</v>
      </c>
      <c r="D102">
        <v>1093</v>
      </c>
      <c r="F102">
        <v>27.2</v>
      </c>
      <c r="K102">
        <v>180</v>
      </c>
      <c r="L102">
        <v>72</v>
      </c>
      <c r="M102" t="s">
        <v>134</v>
      </c>
    </row>
    <row r="103" spans="1:13" x14ac:dyDescent="0.4">
      <c r="A103" t="s">
        <v>145</v>
      </c>
      <c r="B103">
        <v>3.9</v>
      </c>
      <c r="C103">
        <v>4.0999999999999996</v>
      </c>
      <c r="D103">
        <v>1093</v>
      </c>
      <c r="F103">
        <v>27.2</v>
      </c>
      <c r="K103">
        <v>180</v>
      </c>
      <c r="L103">
        <v>72</v>
      </c>
      <c r="M103" t="s">
        <v>134</v>
      </c>
    </row>
    <row r="104" spans="1:13" x14ac:dyDescent="0.4">
      <c r="A104" t="s">
        <v>146</v>
      </c>
      <c r="B104">
        <v>1.4</v>
      </c>
      <c r="C104">
        <v>2.7</v>
      </c>
      <c r="D104">
        <v>1093</v>
      </c>
      <c r="F104">
        <v>27.2</v>
      </c>
      <c r="K104">
        <v>180</v>
      </c>
      <c r="L104">
        <v>72</v>
      </c>
      <c r="M104" t="s">
        <v>134</v>
      </c>
    </row>
    <row r="105" spans="1:13" x14ac:dyDescent="0.4">
      <c r="A105" t="s">
        <v>147</v>
      </c>
      <c r="B105">
        <v>2.8</v>
      </c>
      <c r="C105">
        <v>1.4</v>
      </c>
      <c r="D105">
        <v>1093</v>
      </c>
      <c r="F105">
        <v>27.2</v>
      </c>
      <c r="K105">
        <v>180</v>
      </c>
      <c r="L105">
        <v>72</v>
      </c>
      <c r="M105" t="s">
        <v>134</v>
      </c>
    </row>
    <row r="106" spans="1:13" x14ac:dyDescent="0.4">
      <c r="A106" t="s">
        <v>148</v>
      </c>
      <c r="B106">
        <v>9.1</v>
      </c>
      <c r="C106">
        <v>4.5</v>
      </c>
      <c r="D106">
        <v>1093</v>
      </c>
      <c r="F106">
        <v>27.2</v>
      </c>
      <c r="K106">
        <v>180</v>
      </c>
      <c r="L106">
        <v>72</v>
      </c>
      <c r="M106" t="s">
        <v>134</v>
      </c>
    </row>
    <row r="107" spans="1:13" x14ac:dyDescent="0.4">
      <c r="A107" t="s">
        <v>149</v>
      </c>
      <c r="B107">
        <v>17.399999999999999</v>
      </c>
      <c r="C107">
        <v>9.3000000000000007</v>
      </c>
      <c r="D107">
        <v>1093</v>
      </c>
      <c r="F107">
        <v>27.2</v>
      </c>
      <c r="K107">
        <v>180</v>
      </c>
      <c r="L107">
        <v>72</v>
      </c>
      <c r="M107" t="s">
        <v>134</v>
      </c>
    </row>
    <row r="108" spans="1:13" x14ac:dyDescent="0.4">
      <c r="A108" t="s">
        <v>150</v>
      </c>
      <c r="B108">
        <v>7.3</v>
      </c>
      <c r="C108">
        <v>7</v>
      </c>
      <c r="D108">
        <v>1093</v>
      </c>
      <c r="F108">
        <v>27.2</v>
      </c>
      <c r="K108">
        <v>180</v>
      </c>
      <c r="L108">
        <v>72</v>
      </c>
      <c r="M108" t="s">
        <v>134</v>
      </c>
    </row>
    <row r="109" spans="1:13" x14ac:dyDescent="0.4">
      <c r="A109" t="s">
        <v>151</v>
      </c>
      <c r="B109">
        <v>12.1</v>
      </c>
      <c r="C109">
        <v>10.6</v>
      </c>
      <c r="D109">
        <v>1093</v>
      </c>
      <c r="F109">
        <v>27.2</v>
      </c>
      <c r="K109">
        <v>180</v>
      </c>
      <c r="L109">
        <v>72</v>
      </c>
      <c r="M109" t="s">
        <v>134</v>
      </c>
    </row>
    <row r="110" spans="1:13" x14ac:dyDescent="0.4">
      <c r="A110" t="s">
        <v>152</v>
      </c>
      <c r="B110">
        <v>24.8</v>
      </c>
      <c r="C110">
        <v>3.5</v>
      </c>
      <c r="D110">
        <v>1093</v>
      </c>
      <c r="F110">
        <v>27.2</v>
      </c>
      <c r="K110">
        <v>180</v>
      </c>
      <c r="L110">
        <v>72</v>
      </c>
      <c r="M110" t="s">
        <v>26</v>
      </c>
    </row>
    <row r="111" spans="1:13" x14ac:dyDescent="0.4">
      <c r="A111" t="s">
        <v>153</v>
      </c>
      <c r="B111">
        <v>24.6</v>
      </c>
      <c r="C111">
        <v>6.5</v>
      </c>
      <c r="D111">
        <v>1093</v>
      </c>
      <c r="F111">
        <v>27.2</v>
      </c>
      <c r="K111">
        <v>180</v>
      </c>
      <c r="L111">
        <v>72</v>
      </c>
      <c r="M111" t="s">
        <v>26</v>
      </c>
    </row>
    <row r="112" spans="1:13" x14ac:dyDescent="0.4">
      <c r="A112" t="s">
        <v>154</v>
      </c>
      <c r="B112">
        <v>5.0999999999999996</v>
      </c>
      <c r="C112">
        <v>0.8</v>
      </c>
      <c r="D112">
        <v>1093</v>
      </c>
      <c r="F112">
        <v>27.2</v>
      </c>
      <c r="K112">
        <v>180</v>
      </c>
      <c r="L112">
        <v>72</v>
      </c>
      <c r="M112" t="s">
        <v>26</v>
      </c>
    </row>
    <row r="113" spans="1:16" x14ac:dyDescent="0.4">
      <c r="A113" t="s">
        <v>155</v>
      </c>
      <c r="B113">
        <v>6.7</v>
      </c>
      <c r="C113">
        <v>0.7</v>
      </c>
      <c r="D113">
        <v>1093</v>
      </c>
      <c r="F113">
        <v>27.2</v>
      </c>
      <c r="K113">
        <v>180</v>
      </c>
      <c r="L113">
        <v>72</v>
      </c>
      <c r="M113" t="s">
        <v>26</v>
      </c>
    </row>
    <row r="114" spans="1:16" x14ac:dyDescent="0.4">
      <c r="A114" t="s">
        <v>156</v>
      </c>
      <c r="B114">
        <v>9.1999999999999993</v>
      </c>
      <c r="C114">
        <v>1</v>
      </c>
      <c r="D114">
        <v>1093</v>
      </c>
      <c r="F114">
        <v>27.2</v>
      </c>
      <c r="K114">
        <v>180</v>
      </c>
      <c r="L114">
        <v>72</v>
      </c>
      <c r="M114" t="s">
        <v>26</v>
      </c>
    </row>
    <row r="115" spans="1:16" x14ac:dyDescent="0.4">
      <c r="A115" t="s">
        <v>157</v>
      </c>
      <c r="B115">
        <v>12.2</v>
      </c>
      <c r="C115">
        <v>0.6</v>
      </c>
      <c r="D115">
        <v>1093</v>
      </c>
      <c r="F115">
        <v>27.2</v>
      </c>
      <c r="K115">
        <v>180</v>
      </c>
      <c r="L115">
        <v>72</v>
      </c>
      <c r="M115" t="s">
        <v>26</v>
      </c>
    </row>
    <row r="116" spans="1:16" x14ac:dyDescent="0.4">
      <c r="A116" t="s">
        <v>158</v>
      </c>
      <c r="B116">
        <v>13.6</v>
      </c>
      <c r="C116">
        <v>0.9</v>
      </c>
      <c r="D116">
        <v>1093</v>
      </c>
      <c r="F116">
        <v>27.2</v>
      </c>
      <c r="K116">
        <v>180</v>
      </c>
      <c r="L116">
        <v>72</v>
      </c>
      <c r="M116" t="s">
        <v>26</v>
      </c>
    </row>
    <row r="117" spans="1:16" x14ac:dyDescent="0.4">
      <c r="A117" t="s">
        <v>159</v>
      </c>
      <c r="B117">
        <v>17.600000000000001</v>
      </c>
      <c r="C117">
        <v>2.8</v>
      </c>
      <c r="D117">
        <v>1093</v>
      </c>
      <c r="F117">
        <v>27.2</v>
      </c>
      <c r="K117">
        <v>180</v>
      </c>
      <c r="L117">
        <v>72</v>
      </c>
      <c r="M117" t="s">
        <v>26</v>
      </c>
    </row>
    <row r="118" spans="1:16" x14ac:dyDescent="0.4">
      <c r="A118" t="s">
        <v>160</v>
      </c>
      <c r="B118">
        <v>13.8</v>
      </c>
      <c r="C118">
        <v>2.5</v>
      </c>
      <c r="D118">
        <v>1093</v>
      </c>
      <c r="F118">
        <v>27.2</v>
      </c>
      <c r="K118">
        <v>180</v>
      </c>
      <c r="L118">
        <v>72</v>
      </c>
      <c r="M118" t="s">
        <v>26</v>
      </c>
    </row>
    <row r="119" spans="1:16" x14ac:dyDescent="0.4">
      <c r="A119" t="s">
        <v>161</v>
      </c>
      <c r="B119">
        <v>10.6</v>
      </c>
      <c r="C119">
        <v>2.2999999999999998</v>
      </c>
      <c r="D119">
        <v>1093</v>
      </c>
      <c r="F119">
        <v>27.2</v>
      </c>
      <c r="K119">
        <v>180</v>
      </c>
      <c r="L119">
        <v>72</v>
      </c>
      <c r="M119" t="s">
        <v>26</v>
      </c>
    </row>
    <row r="120" spans="1:16" x14ac:dyDescent="0.4">
      <c r="A120" t="s">
        <v>162</v>
      </c>
      <c r="B120">
        <v>7.9</v>
      </c>
      <c r="C120">
        <v>2.2000000000000002</v>
      </c>
      <c r="D120">
        <v>1093</v>
      </c>
      <c r="F120">
        <v>27.2</v>
      </c>
      <c r="K120">
        <v>180</v>
      </c>
      <c r="L120">
        <v>72</v>
      </c>
      <c r="M120" t="s">
        <v>26</v>
      </c>
    </row>
    <row r="121" spans="1:16" x14ac:dyDescent="0.4">
      <c r="A121" t="s">
        <v>163</v>
      </c>
      <c r="B121">
        <v>35.799999999999997</v>
      </c>
      <c r="C121">
        <v>1.7</v>
      </c>
      <c r="D121">
        <v>1093</v>
      </c>
      <c r="F121">
        <v>27.2</v>
      </c>
      <c r="K121">
        <v>180</v>
      </c>
      <c r="L121">
        <v>72</v>
      </c>
      <c r="M121" t="s">
        <v>28</v>
      </c>
    </row>
    <row r="122" spans="1:16" x14ac:dyDescent="0.4">
      <c r="A122" t="s">
        <v>164</v>
      </c>
      <c r="B122">
        <v>20.100000000000001</v>
      </c>
      <c r="C122">
        <v>1.5</v>
      </c>
      <c r="D122">
        <v>1093</v>
      </c>
      <c r="F122">
        <v>27.2</v>
      </c>
      <c r="K122">
        <v>180</v>
      </c>
      <c r="L122">
        <v>72</v>
      </c>
      <c r="M122" t="s">
        <v>28</v>
      </c>
    </row>
    <row r="123" spans="1:16" x14ac:dyDescent="0.4">
      <c r="A123" t="s">
        <v>165</v>
      </c>
      <c r="B123">
        <v>22.5</v>
      </c>
      <c r="C123">
        <v>1.3</v>
      </c>
      <c r="D123">
        <v>1093</v>
      </c>
      <c r="F123">
        <v>27.2</v>
      </c>
      <c r="K123">
        <v>180</v>
      </c>
      <c r="L123">
        <v>72</v>
      </c>
      <c r="M123" t="s">
        <v>28</v>
      </c>
    </row>
    <row r="124" spans="1:16" x14ac:dyDescent="0.4">
      <c r="A124" t="s">
        <v>166</v>
      </c>
      <c r="B124">
        <v>25</v>
      </c>
      <c r="C124">
        <v>0.7</v>
      </c>
      <c r="D124">
        <v>1093</v>
      </c>
      <c r="F124">
        <v>27.2</v>
      </c>
      <c r="K124">
        <v>180</v>
      </c>
      <c r="L124">
        <v>72</v>
      </c>
      <c r="M124" t="s">
        <v>28</v>
      </c>
    </row>
    <row r="125" spans="1:16" x14ac:dyDescent="0.4">
      <c r="A125" t="s">
        <v>167</v>
      </c>
      <c r="B125">
        <v>26.6</v>
      </c>
      <c r="C125">
        <v>0.8</v>
      </c>
      <c r="D125">
        <v>1093</v>
      </c>
      <c r="F125">
        <v>27.2</v>
      </c>
      <c r="K125">
        <v>180</v>
      </c>
      <c r="L125">
        <v>72</v>
      </c>
      <c r="M125" t="s">
        <v>28</v>
      </c>
    </row>
    <row r="126" spans="1:16" x14ac:dyDescent="0.4">
      <c r="A126" t="s">
        <v>168</v>
      </c>
      <c r="B126">
        <v>20</v>
      </c>
      <c r="C126">
        <v>1</v>
      </c>
      <c r="D126">
        <v>400</v>
      </c>
      <c r="F126">
        <v>20</v>
      </c>
      <c r="K126">
        <v>175</v>
      </c>
      <c r="L126">
        <v>8</v>
      </c>
      <c r="M126" t="s">
        <v>28</v>
      </c>
      <c r="N126" t="s">
        <v>169</v>
      </c>
      <c r="O126" t="s">
        <v>170</v>
      </c>
      <c r="P126" t="s">
        <v>171</v>
      </c>
    </row>
    <row r="127" spans="1:16" x14ac:dyDescent="0.4">
      <c r="A127" t="s">
        <v>172</v>
      </c>
      <c r="B127">
        <v>5</v>
      </c>
      <c r="C127">
        <v>1</v>
      </c>
      <c r="D127">
        <v>600</v>
      </c>
      <c r="F127">
        <v>10</v>
      </c>
      <c r="K127">
        <v>150</v>
      </c>
      <c r="L127">
        <v>120</v>
      </c>
      <c r="M127" t="s">
        <v>119</v>
      </c>
      <c r="N127" t="s">
        <v>173</v>
      </c>
      <c r="O127" t="s">
        <v>174</v>
      </c>
      <c r="P127" t="s">
        <v>175</v>
      </c>
    </row>
    <row r="128" spans="1:16" x14ac:dyDescent="0.4">
      <c r="A128" t="s">
        <v>176</v>
      </c>
      <c r="B128">
        <v>0.5</v>
      </c>
      <c r="C128">
        <v>0.02</v>
      </c>
      <c r="D128">
        <v>12</v>
      </c>
      <c r="F128">
        <v>1</v>
      </c>
      <c r="K128">
        <v>170</v>
      </c>
      <c r="L128">
        <v>48</v>
      </c>
      <c r="M128" t="s">
        <v>26</v>
      </c>
      <c r="N128" t="s">
        <v>177</v>
      </c>
      <c r="O128" t="s">
        <v>178</v>
      </c>
      <c r="P128" t="s">
        <v>179</v>
      </c>
    </row>
    <row r="129" spans="1:16" x14ac:dyDescent="0.4">
      <c r="A129" t="s">
        <v>180</v>
      </c>
      <c r="B129">
        <v>0.5</v>
      </c>
      <c r="C129">
        <v>1.9E-2</v>
      </c>
      <c r="D129">
        <v>8</v>
      </c>
      <c r="F129">
        <v>1</v>
      </c>
      <c r="K129">
        <v>170</v>
      </c>
      <c r="L129">
        <v>48</v>
      </c>
      <c r="M129" t="s">
        <v>26</v>
      </c>
    </row>
    <row r="130" spans="1:16" x14ac:dyDescent="0.4">
      <c r="A130" t="s">
        <v>181</v>
      </c>
      <c r="B130">
        <v>0.5</v>
      </c>
      <c r="C130">
        <v>1.2E-2</v>
      </c>
      <c r="D130">
        <v>12</v>
      </c>
      <c r="F130">
        <v>1</v>
      </c>
      <c r="K130">
        <v>170</v>
      </c>
      <c r="L130">
        <v>48</v>
      </c>
      <c r="M130" t="s">
        <v>26</v>
      </c>
    </row>
    <row r="131" spans="1:16" x14ac:dyDescent="0.4">
      <c r="A131" t="s">
        <v>182</v>
      </c>
      <c r="B131">
        <v>0.5</v>
      </c>
      <c r="C131">
        <v>1.2999999999999999E-2</v>
      </c>
      <c r="D131">
        <v>8</v>
      </c>
      <c r="F131">
        <v>1</v>
      </c>
      <c r="K131">
        <v>170</v>
      </c>
      <c r="L131">
        <v>48</v>
      </c>
      <c r="M131" t="s">
        <v>26</v>
      </c>
    </row>
    <row r="132" spans="1:16" x14ac:dyDescent="0.4">
      <c r="A132" t="s">
        <v>183</v>
      </c>
      <c r="B132">
        <v>0.5</v>
      </c>
      <c r="C132">
        <v>6.0000000000000001E-3</v>
      </c>
      <c r="D132">
        <v>12</v>
      </c>
      <c r="F132">
        <v>1</v>
      </c>
      <c r="K132">
        <v>170</v>
      </c>
      <c r="L132">
        <v>48</v>
      </c>
      <c r="M132" t="s">
        <v>26</v>
      </c>
    </row>
    <row r="133" spans="1:16" x14ac:dyDescent="0.4">
      <c r="A133" t="s">
        <v>184</v>
      </c>
      <c r="B133">
        <v>0.5</v>
      </c>
      <c r="C133">
        <v>6.0000000000000001E-3</v>
      </c>
      <c r="D133">
        <v>8</v>
      </c>
      <c r="F133">
        <v>1</v>
      </c>
      <c r="K133">
        <v>170</v>
      </c>
      <c r="L133">
        <v>48</v>
      </c>
      <c r="M133" t="s">
        <v>26</v>
      </c>
    </row>
    <row r="134" spans="1:16" x14ac:dyDescent="0.4">
      <c r="A134" t="s">
        <v>185</v>
      </c>
      <c r="B134">
        <v>1.9259999999999999</v>
      </c>
      <c r="C134">
        <v>1</v>
      </c>
      <c r="D134">
        <v>128</v>
      </c>
      <c r="E134">
        <f>3.245*2</f>
        <v>6.49</v>
      </c>
      <c r="K134">
        <v>100</v>
      </c>
      <c r="L134">
        <v>2</v>
      </c>
      <c r="M134" t="s">
        <v>13</v>
      </c>
      <c r="N134" t="s">
        <v>186</v>
      </c>
      <c r="O134" t="s">
        <v>187</v>
      </c>
      <c r="P134" t="s">
        <v>188</v>
      </c>
    </row>
    <row r="135" spans="1:16" x14ac:dyDescent="0.4">
      <c r="A135" t="s">
        <v>189</v>
      </c>
      <c r="B135">
        <v>0.33300000000000002</v>
      </c>
      <c r="C135">
        <v>1.5599999999999999E-2</v>
      </c>
      <c r="D135">
        <v>5.55</v>
      </c>
      <c r="E135">
        <v>0.05</v>
      </c>
      <c r="K135">
        <v>165</v>
      </c>
      <c r="L135">
        <v>66</v>
      </c>
      <c r="M135" t="s">
        <v>34</v>
      </c>
      <c r="N135" t="s">
        <v>190</v>
      </c>
      <c r="O135" t="s">
        <v>191</v>
      </c>
      <c r="P135" t="s">
        <v>192</v>
      </c>
    </row>
    <row r="136" spans="1:16" x14ac:dyDescent="0.4">
      <c r="A136" t="s">
        <v>193</v>
      </c>
      <c r="B136">
        <v>0.33300000000000002</v>
      </c>
      <c r="C136">
        <v>1.5599999999999999E-2</v>
      </c>
      <c r="D136">
        <v>5.55</v>
      </c>
      <c r="E136">
        <v>0.05</v>
      </c>
      <c r="K136">
        <v>200</v>
      </c>
      <c r="L136">
        <v>66</v>
      </c>
      <c r="M136" t="s">
        <v>24</v>
      </c>
    </row>
    <row r="137" spans="1:16" x14ac:dyDescent="0.4">
      <c r="A137" t="s">
        <v>194</v>
      </c>
      <c r="B137">
        <v>0.33300000000000002</v>
      </c>
      <c r="C137">
        <v>1.5599999999999999E-2</v>
      </c>
      <c r="D137">
        <v>5.55</v>
      </c>
      <c r="E137">
        <v>5.7000000000000002E-2</v>
      </c>
      <c r="K137">
        <v>165</v>
      </c>
      <c r="L137">
        <v>66</v>
      </c>
      <c r="M137" t="s">
        <v>34</v>
      </c>
    </row>
    <row r="138" spans="1:16" x14ac:dyDescent="0.4">
      <c r="A138" t="s">
        <v>195</v>
      </c>
      <c r="B138">
        <v>0.33300000000000002</v>
      </c>
      <c r="C138">
        <v>1.5599999999999999E-2</v>
      </c>
      <c r="D138">
        <v>5.55</v>
      </c>
      <c r="E138">
        <v>6.8000000000000005E-2</v>
      </c>
      <c r="K138">
        <v>165</v>
      </c>
      <c r="L138">
        <v>66</v>
      </c>
      <c r="M138" t="s">
        <v>24</v>
      </c>
    </row>
    <row r="139" spans="1:16" x14ac:dyDescent="0.4">
      <c r="A139" t="s">
        <v>196</v>
      </c>
      <c r="B139">
        <v>4</v>
      </c>
      <c r="C139">
        <v>1</v>
      </c>
      <c r="D139">
        <v>160</v>
      </c>
      <c r="F139">
        <v>32</v>
      </c>
      <c r="K139">
        <v>100</v>
      </c>
      <c r="L139">
        <v>2.5</v>
      </c>
      <c r="M139" t="s">
        <v>134</v>
      </c>
      <c r="N139" t="s">
        <v>197</v>
      </c>
      <c r="O139" t="s">
        <v>198</v>
      </c>
      <c r="P139" t="s">
        <v>199</v>
      </c>
    </row>
    <row r="140" spans="1:16" x14ac:dyDescent="0.4">
      <c r="A140" t="s">
        <v>200</v>
      </c>
      <c r="B140">
        <v>4</v>
      </c>
      <c r="C140">
        <v>1</v>
      </c>
      <c r="D140">
        <v>160</v>
      </c>
      <c r="F140">
        <v>32</v>
      </c>
      <c r="K140">
        <v>100</v>
      </c>
      <c r="L140">
        <v>3</v>
      </c>
      <c r="M140" t="s">
        <v>134</v>
      </c>
      <c r="N140" s="2"/>
    </row>
    <row r="141" spans="1:16" x14ac:dyDescent="0.4">
      <c r="A141" t="s">
        <v>201</v>
      </c>
      <c r="B141">
        <v>7</v>
      </c>
      <c r="C141">
        <v>1</v>
      </c>
      <c r="D141">
        <v>196</v>
      </c>
      <c r="F141">
        <v>7</v>
      </c>
      <c r="K141">
        <v>180</v>
      </c>
      <c r="L141">
        <v>14</v>
      </c>
      <c r="M141" t="s">
        <v>26</v>
      </c>
      <c r="N141" t="s">
        <v>202</v>
      </c>
      <c r="O141" t="s">
        <v>203</v>
      </c>
      <c r="P141" t="s">
        <v>204</v>
      </c>
    </row>
    <row r="142" spans="1:16" x14ac:dyDescent="0.4">
      <c r="A142" t="s">
        <v>205</v>
      </c>
      <c r="B142">
        <v>1.5</v>
      </c>
      <c r="C142">
        <v>1</v>
      </c>
      <c r="D142">
        <v>300</v>
      </c>
      <c r="E142">
        <v>12</v>
      </c>
      <c r="K142">
        <v>90</v>
      </c>
      <c r="L142">
        <v>9</v>
      </c>
      <c r="M142" t="s">
        <v>13</v>
      </c>
    </row>
    <row r="143" spans="1:16" x14ac:dyDescent="0.4">
      <c r="A143" t="s">
        <v>206</v>
      </c>
      <c r="B143">
        <v>3.8</v>
      </c>
      <c r="C143">
        <v>1</v>
      </c>
      <c r="D143">
        <v>50</v>
      </c>
      <c r="E143">
        <v>4.2</v>
      </c>
      <c r="K143">
        <v>100</v>
      </c>
      <c r="L143">
        <v>48</v>
      </c>
      <c r="M143" t="s">
        <v>22</v>
      </c>
      <c r="N143" t="s">
        <v>207</v>
      </c>
      <c r="O143" t="s">
        <v>208</v>
      </c>
      <c r="P143" t="s">
        <v>209</v>
      </c>
    </row>
    <row r="144" spans="1:16" x14ac:dyDescent="0.4">
      <c r="A144" t="s">
        <v>210</v>
      </c>
      <c r="B144">
        <v>5</v>
      </c>
      <c r="C144">
        <v>1</v>
      </c>
      <c r="D144">
        <v>220</v>
      </c>
      <c r="E144">
        <v>10</v>
      </c>
      <c r="K144">
        <v>100</v>
      </c>
      <c r="L144">
        <v>48</v>
      </c>
      <c r="M144" t="s">
        <v>22</v>
      </c>
    </row>
    <row r="145" spans="1:16" x14ac:dyDescent="0.4">
      <c r="A145" t="s">
        <v>211</v>
      </c>
      <c r="B145">
        <v>10</v>
      </c>
      <c r="C145">
        <v>1</v>
      </c>
      <c r="D145">
        <v>267</v>
      </c>
      <c r="E145">
        <v>12</v>
      </c>
      <c r="K145">
        <v>100</v>
      </c>
      <c r="L145">
        <v>48</v>
      </c>
      <c r="M145" t="s">
        <v>22</v>
      </c>
      <c r="N145" s="2"/>
    </row>
    <row r="146" spans="1:16" x14ac:dyDescent="0.4">
      <c r="A146" t="s">
        <v>212</v>
      </c>
      <c r="B146">
        <v>20</v>
      </c>
      <c r="C146">
        <v>2</v>
      </c>
      <c r="D146">
        <v>900</v>
      </c>
      <c r="E146">
        <v>20</v>
      </c>
      <c r="K146">
        <v>100</v>
      </c>
      <c r="L146">
        <v>48</v>
      </c>
      <c r="M146" t="s">
        <v>22</v>
      </c>
      <c r="N146" t="s">
        <v>213</v>
      </c>
      <c r="O146" t="s">
        <v>214</v>
      </c>
      <c r="P146" t="s">
        <v>215</v>
      </c>
    </row>
    <row r="147" spans="1:16" x14ac:dyDescent="0.4">
      <c r="A147" t="s">
        <v>216</v>
      </c>
      <c r="B147">
        <v>20</v>
      </c>
      <c r="C147">
        <v>2</v>
      </c>
      <c r="D147">
        <v>1000</v>
      </c>
      <c r="E147">
        <v>20</v>
      </c>
      <c r="K147">
        <v>100</v>
      </c>
      <c r="L147">
        <v>36</v>
      </c>
      <c r="M147" t="s">
        <v>18</v>
      </c>
    </row>
    <row r="148" spans="1:16" x14ac:dyDescent="0.4">
      <c r="A148" t="s">
        <v>217</v>
      </c>
      <c r="B148">
        <v>10</v>
      </c>
      <c r="C148">
        <v>0.5</v>
      </c>
      <c r="D148">
        <v>220</v>
      </c>
      <c r="E148">
        <v>6</v>
      </c>
      <c r="K148">
        <v>150</v>
      </c>
      <c r="L148">
        <v>24</v>
      </c>
      <c r="M148" t="s">
        <v>22</v>
      </c>
      <c r="N148" t="s">
        <v>218</v>
      </c>
      <c r="O148" t="s">
        <v>219</v>
      </c>
      <c r="P148" t="s">
        <v>220</v>
      </c>
    </row>
    <row r="149" spans="1:16" x14ac:dyDescent="0.4">
      <c r="A149" t="s">
        <v>221</v>
      </c>
      <c r="B149">
        <v>40</v>
      </c>
      <c r="C149">
        <v>1</v>
      </c>
      <c r="D149">
        <v>1500</v>
      </c>
      <c r="E149">
        <v>9</v>
      </c>
      <c r="K149">
        <v>190</v>
      </c>
      <c r="L149">
        <v>35</v>
      </c>
      <c r="M149" t="s">
        <v>34</v>
      </c>
      <c r="N149" s="3" t="s">
        <v>222</v>
      </c>
      <c r="O149" s="1"/>
      <c r="P149" s="1"/>
    </row>
    <row r="150" spans="1:16" x14ac:dyDescent="0.4">
      <c r="A150" t="s">
        <v>223</v>
      </c>
      <c r="B150">
        <v>40</v>
      </c>
      <c r="C150">
        <v>1</v>
      </c>
      <c r="D150">
        <v>1500</v>
      </c>
      <c r="E150">
        <v>9</v>
      </c>
      <c r="K150">
        <v>190</v>
      </c>
      <c r="L150">
        <v>30</v>
      </c>
      <c r="M150" t="s">
        <v>34</v>
      </c>
      <c r="N150" s="1"/>
      <c r="O150" s="1"/>
      <c r="P150" s="1"/>
    </row>
    <row r="151" spans="1:16" x14ac:dyDescent="0.4">
      <c r="A151" t="s">
        <v>224</v>
      </c>
      <c r="B151">
        <v>18</v>
      </c>
      <c r="C151">
        <v>1</v>
      </c>
      <c r="D151">
        <v>324</v>
      </c>
      <c r="E151">
        <v>3.6</v>
      </c>
      <c r="K151">
        <v>165</v>
      </c>
      <c r="L151">
        <v>48</v>
      </c>
      <c r="M151" t="s">
        <v>34</v>
      </c>
      <c r="N151" t="s">
        <v>225</v>
      </c>
      <c r="O151" t="s">
        <v>226</v>
      </c>
      <c r="P151" t="s">
        <v>778</v>
      </c>
    </row>
    <row r="152" spans="1:16" x14ac:dyDescent="0.4">
      <c r="A152" t="s">
        <v>227</v>
      </c>
      <c r="B152">
        <v>18</v>
      </c>
      <c r="C152">
        <v>1</v>
      </c>
      <c r="D152">
        <v>324</v>
      </c>
      <c r="E152">
        <v>3.6</v>
      </c>
      <c r="K152">
        <v>200</v>
      </c>
      <c r="L152">
        <v>48</v>
      </c>
      <c r="M152" t="s">
        <v>24</v>
      </c>
    </row>
    <row r="153" spans="1:16" x14ac:dyDescent="0.4">
      <c r="A153" t="s">
        <v>228</v>
      </c>
      <c r="B153">
        <v>18</v>
      </c>
      <c r="C153">
        <v>1</v>
      </c>
      <c r="D153">
        <v>324</v>
      </c>
      <c r="E153">
        <v>6.84</v>
      </c>
      <c r="K153">
        <v>165</v>
      </c>
      <c r="L153">
        <v>48</v>
      </c>
      <c r="M153" t="s">
        <v>24</v>
      </c>
    </row>
    <row r="154" spans="1:16" x14ac:dyDescent="0.4">
      <c r="A154" t="s">
        <v>229</v>
      </c>
      <c r="B154">
        <v>10</v>
      </c>
      <c r="C154">
        <v>1</v>
      </c>
      <c r="D154">
        <v>180</v>
      </c>
      <c r="E154">
        <v>2</v>
      </c>
      <c r="K154">
        <v>165</v>
      </c>
      <c r="L154">
        <v>48</v>
      </c>
      <c r="M154" t="s">
        <v>24</v>
      </c>
    </row>
    <row r="155" spans="1:16" x14ac:dyDescent="0.4">
      <c r="A155" t="s">
        <v>230</v>
      </c>
      <c r="B155">
        <v>18</v>
      </c>
      <c r="C155">
        <v>1</v>
      </c>
      <c r="D155">
        <v>324</v>
      </c>
      <c r="E155">
        <v>3.6</v>
      </c>
      <c r="K155">
        <v>165</v>
      </c>
      <c r="L155">
        <v>48</v>
      </c>
      <c r="M155" t="s">
        <v>34</v>
      </c>
    </row>
    <row r="156" spans="1:16" x14ac:dyDescent="0.4">
      <c r="A156" t="s">
        <v>231</v>
      </c>
      <c r="B156">
        <v>40</v>
      </c>
      <c r="C156">
        <v>1</v>
      </c>
      <c r="D156">
        <v>1720</v>
      </c>
      <c r="E156">
        <v>12.8</v>
      </c>
      <c r="K156">
        <v>190</v>
      </c>
      <c r="L156">
        <v>24</v>
      </c>
      <c r="M156" t="s">
        <v>34</v>
      </c>
    </row>
    <row r="157" spans="1:16" x14ac:dyDescent="0.4">
      <c r="A157" t="s">
        <v>232</v>
      </c>
      <c r="B157">
        <v>60</v>
      </c>
      <c r="C157">
        <v>1</v>
      </c>
      <c r="D157">
        <v>2580</v>
      </c>
      <c r="E157">
        <v>19.2</v>
      </c>
      <c r="K157">
        <v>190</v>
      </c>
      <c r="L157">
        <v>24</v>
      </c>
      <c r="M157" t="s">
        <v>34</v>
      </c>
    </row>
    <row r="158" spans="1:16" x14ac:dyDescent="0.4">
      <c r="A158" t="s">
        <v>233</v>
      </c>
      <c r="B158">
        <v>80</v>
      </c>
      <c r="C158">
        <v>1</v>
      </c>
      <c r="D158">
        <v>3440</v>
      </c>
      <c r="E158">
        <v>25.6</v>
      </c>
      <c r="K158">
        <v>190</v>
      </c>
      <c r="L158">
        <v>24</v>
      </c>
      <c r="M158" t="s">
        <v>34</v>
      </c>
    </row>
    <row r="159" spans="1:16" x14ac:dyDescent="0.4">
      <c r="A159" t="s">
        <v>234</v>
      </c>
      <c r="B159">
        <v>120</v>
      </c>
      <c r="C159">
        <v>1</v>
      </c>
      <c r="D159">
        <v>5160</v>
      </c>
      <c r="E159">
        <v>38.4</v>
      </c>
      <c r="K159">
        <v>190</v>
      </c>
      <c r="L159">
        <v>24</v>
      </c>
      <c r="M159" t="s">
        <v>34</v>
      </c>
    </row>
    <row r="160" spans="1:16" x14ac:dyDescent="0.4">
      <c r="A160" t="s">
        <v>235</v>
      </c>
      <c r="B160">
        <v>2</v>
      </c>
      <c r="C160">
        <v>3</v>
      </c>
      <c r="D160">
        <v>980</v>
      </c>
      <c r="F160">
        <v>30</v>
      </c>
      <c r="K160">
        <v>64</v>
      </c>
      <c r="L160">
        <v>1440</v>
      </c>
      <c r="M160" t="s">
        <v>103</v>
      </c>
      <c r="N160" t="s">
        <v>236</v>
      </c>
      <c r="O160" t="s">
        <v>237</v>
      </c>
      <c r="P160" t="s">
        <v>238</v>
      </c>
    </row>
    <row r="161" spans="1:16" x14ac:dyDescent="0.4">
      <c r="A161" t="s">
        <v>239</v>
      </c>
      <c r="B161">
        <v>20</v>
      </c>
      <c r="C161">
        <v>1</v>
      </c>
      <c r="D161">
        <v>400</v>
      </c>
      <c r="E161">
        <v>5</v>
      </c>
      <c r="K161">
        <v>165</v>
      </c>
      <c r="L161">
        <v>51</v>
      </c>
      <c r="M161" t="s">
        <v>24</v>
      </c>
      <c r="N161" t="s">
        <v>240</v>
      </c>
      <c r="O161" t="s">
        <v>241</v>
      </c>
      <c r="P161" t="s">
        <v>242</v>
      </c>
    </row>
    <row r="162" spans="1:16" x14ac:dyDescent="0.4">
      <c r="A162" t="s">
        <v>243</v>
      </c>
      <c r="B162">
        <v>20</v>
      </c>
      <c r="C162">
        <v>1</v>
      </c>
      <c r="D162">
        <v>400</v>
      </c>
      <c r="E162">
        <v>5</v>
      </c>
      <c r="K162">
        <v>165</v>
      </c>
      <c r="L162">
        <v>60</v>
      </c>
      <c r="M162" t="s">
        <v>24</v>
      </c>
    </row>
    <row r="163" spans="1:16" x14ac:dyDescent="0.4">
      <c r="A163" t="s">
        <v>244</v>
      </c>
      <c r="B163">
        <v>10</v>
      </c>
      <c r="C163">
        <v>1</v>
      </c>
      <c r="D163">
        <v>240</v>
      </c>
      <c r="E163">
        <v>4</v>
      </c>
      <c r="K163">
        <v>170</v>
      </c>
      <c r="L163">
        <v>60</v>
      </c>
      <c r="M163" t="s">
        <v>24</v>
      </c>
      <c r="N163" t="s">
        <v>245</v>
      </c>
      <c r="O163" t="s">
        <v>246</v>
      </c>
      <c r="P163" t="s">
        <v>247</v>
      </c>
    </row>
    <row r="164" spans="1:16" x14ac:dyDescent="0.4">
      <c r="A164" t="s">
        <v>248</v>
      </c>
      <c r="B164">
        <v>20</v>
      </c>
      <c r="C164">
        <v>1</v>
      </c>
      <c r="D164">
        <v>480</v>
      </c>
      <c r="E164">
        <v>8</v>
      </c>
      <c r="K164">
        <v>170</v>
      </c>
      <c r="L164">
        <v>18</v>
      </c>
      <c r="M164" t="s">
        <v>24</v>
      </c>
    </row>
    <row r="165" spans="1:16" x14ac:dyDescent="0.4">
      <c r="A165" t="s">
        <v>249</v>
      </c>
      <c r="B165">
        <v>30</v>
      </c>
      <c r="C165">
        <v>1</v>
      </c>
      <c r="D165">
        <v>780</v>
      </c>
      <c r="E165">
        <v>12</v>
      </c>
      <c r="K165">
        <v>170</v>
      </c>
      <c r="L165">
        <v>20</v>
      </c>
      <c r="M165" t="s">
        <v>24</v>
      </c>
    </row>
    <row r="166" spans="1:16" x14ac:dyDescent="0.4">
      <c r="A166" t="s">
        <v>250</v>
      </c>
      <c r="B166">
        <v>40</v>
      </c>
      <c r="C166">
        <v>1</v>
      </c>
      <c r="D166">
        <v>960</v>
      </c>
      <c r="E166">
        <v>16</v>
      </c>
      <c r="K166">
        <v>170</v>
      </c>
      <c r="L166">
        <v>48</v>
      </c>
      <c r="M166" t="s">
        <v>24</v>
      </c>
    </row>
    <row r="167" spans="1:16" x14ac:dyDescent="0.4">
      <c r="A167" t="s">
        <v>251</v>
      </c>
      <c r="B167">
        <v>20</v>
      </c>
      <c r="C167">
        <v>1</v>
      </c>
      <c r="D167">
        <v>600</v>
      </c>
      <c r="E167">
        <v>12</v>
      </c>
      <c r="K167">
        <v>170</v>
      </c>
      <c r="L167">
        <v>24</v>
      </c>
      <c r="M167" t="s">
        <v>24</v>
      </c>
    </row>
    <row r="168" spans="1:16" x14ac:dyDescent="0.4">
      <c r="A168" t="s">
        <v>252</v>
      </c>
      <c r="B168">
        <v>40</v>
      </c>
      <c r="C168">
        <v>1</v>
      </c>
      <c r="D168">
        <v>1200</v>
      </c>
      <c r="E168">
        <v>24</v>
      </c>
      <c r="K168">
        <v>170</v>
      </c>
      <c r="L168">
        <v>24</v>
      </c>
      <c r="M168" t="s">
        <v>24</v>
      </c>
    </row>
    <row r="169" spans="1:16" x14ac:dyDescent="0.4">
      <c r="A169" t="s">
        <v>253</v>
      </c>
      <c r="B169">
        <v>5</v>
      </c>
      <c r="C169">
        <v>1</v>
      </c>
      <c r="D169">
        <v>600</v>
      </c>
      <c r="F169">
        <v>5</v>
      </c>
      <c r="K169">
        <v>150</v>
      </c>
      <c r="L169">
        <v>120</v>
      </c>
      <c r="M169" t="s">
        <v>119</v>
      </c>
      <c r="N169" t="s">
        <v>173</v>
      </c>
      <c r="O169" t="s">
        <v>254</v>
      </c>
      <c r="P169" t="s">
        <v>255</v>
      </c>
    </row>
    <row r="170" spans="1:16" x14ac:dyDescent="0.4">
      <c r="A170" t="s">
        <v>256</v>
      </c>
      <c r="B170">
        <v>10</v>
      </c>
      <c r="C170">
        <v>1</v>
      </c>
      <c r="D170">
        <v>160</v>
      </c>
      <c r="F170">
        <v>5.2</v>
      </c>
      <c r="K170">
        <v>150</v>
      </c>
      <c r="L170">
        <v>72</v>
      </c>
      <c r="M170" t="s">
        <v>28</v>
      </c>
      <c r="N170" t="s">
        <v>257</v>
      </c>
      <c r="O170" t="s">
        <v>258</v>
      </c>
      <c r="P170" t="s">
        <v>259</v>
      </c>
    </row>
    <row r="171" spans="1:16" x14ac:dyDescent="0.4">
      <c r="A171" t="s">
        <v>260</v>
      </c>
      <c r="B171">
        <v>1</v>
      </c>
      <c r="C171">
        <v>0.5</v>
      </c>
      <c r="D171">
        <v>150</v>
      </c>
      <c r="E171">
        <v>12</v>
      </c>
      <c r="K171">
        <v>90</v>
      </c>
      <c r="L171">
        <v>2.5</v>
      </c>
      <c r="M171" t="s">
        <v>13</v>
      </c>
      <c r="N171" t="s">
        <v>261</v>
      </c>
      <c r="O171" t="s">
        <v>262</v>
      </c>
      <c r="P171" t="s">
        <v>263</v>
      </c>
    </row>
    <row r="172" spans="1:16" x14ac:dyDescent="0.4">
      <c r="A172" t="s">
        <v>264</v>
      </c>
      <c r="B172">
        <v>1</v>
      </c>
      <c r="C172">
        <v>0.5</v>
      </c>
      <c r="D172">
        <v>150</v>
      </c>
      <c r="E172">
        <v>12</v>
      </c>
      <c r="K172">
        <v>90</v>
      </c>
      <c r="L172">
        <v>3.5</v>
      </c>
      <c r="M172" t="s">
        <v>13</v>
      </c>
    </row>
    <row r="173" spans="1:16" x14ac:dyDescent="0.4">
      <c r="A173" t="s">
        <v>265</v>
      </c>
      <c r="B173">
        <v>1</v>
      </c>
      <c r="C173">
        <v>0.5</v>
      </c>
      <c r="D173">
        <v>150</v>
      </c>
      <c r="E173">
        <v>12</v>
      </c>
      <c r="K173">
        <v>90</v>
      </c>
      <c r="L173">
        <v>5</v>
      </c>
      <c r="M173" t="s">
        <v>13</v>
      </c>
    </row>
    <row r="174" spans="1:16" x14ac:dyDescent="0.4">
      <c r="A174" t="s">
        <v>266</v>
      </c>
      <c r="B174">
        <v>10</v>
      </c>
      <c r="C174">
        <v>1.1000000000000001</v>
      </c>
      <c r="D174">
        <v>50</v>
      </c>
      <c r="E174">
        <v>18</v>
      </c>
      <c r="K174">
        <v>50</v>
      </c>
      <c r="L174">
        <v>24</v>
      </c>
      <c r="M174" t="s">
        <v>18</v>
      </c>
      <c r="N174" t="s">
        <v>267</v>
      </c>
      <c r="O174" t="s">
        <v>268</v>
      </c>
      <c r="P174" t="s">
        <v>269</v>
      </c>
    </row>
    <row r="175" spans="1:16" x14ac:dyDescent="0.4">
      <c r="A175" t="s">
        <v>270</v>
      </c>
      <c r="B175">
        <v>10</v>
      </c>
      <c r="C175">
        <v>0.7</v>
      </c>
      <c r="D175">
        <v>122</v>
      </c>
      <c r="E175">
        <v>13</v>
      </c>
      <c r="K175">
        <v>100</v>
      </c>
      <c r="L175">
        <v>2</v>
      </c>
      <c r="M175" t="s">
        <v>18</v>
      </c>
    </row>
    <row r="176" spans="1:16" x14ac:dyDescent="0.4">
      <c r="A176" t="s">
        <v>271</v>
      </c>
      <c r="B176">
        <v>7.5</v>
      </c>
      <c r="C176">
        <v>1.88</v>
      </c>
      <c r="D176">
        <v>173</v>
      </c>
      <c r="E176">
        <v>10</v>
      </c>
      <c r="K176">
        <v>65</v>
      </c>
      <c r="L176">
        <v>6</v>
      </c>
      <c r="M176" t="s">
        <v>13</v>
      </c>
      <c r="N176" t="s">
        <v>272</v>
      </c>
      <c r="O176" t="s">
        <v>273</v>
      </c>
      <c r="P176" t="s">
        <v>274</v>
      </c>
    </row>
    <row r="177" spans="1:16" x14ac:dyDescent="0.4">
      <c r="A177" t="s">
        <v>275</v>
      </c>
      <c r="B177">
        <v>7.5</v>
      </c>
      <c r="C177">
        <v>1.88</v>
      </c>
      <c r="D177">
        <v>173</v>
      </c>
      <c r="E177">
        <v>10</v>
      </c>
      <c r="K177">
        <v>65</v>
      </c>
      <c r="L177">
        <v>168</v>
      </c>
      <c r="M177" t="s">
        <v>18</v>
      </c>
    </row>
    <row r="178" spans="1:16" x14ac:dyDescent="0.4">
      <c r="A178" t="s">
        <v>276</v>
      </c>
      <c r="B178">
        <v>5</v>
      </c>
      <c r="C178">
        <v>1.25</v>
      </c>
      <c r="D178">
        <v>173</v>
      </c>
      <c r="E178">
        <v>10</v>
      </c>
      <c r="K178">
        <v>65</v>
      </c>
      <c r="L178">
        <v>12</v>
      </c>
      <c r="M178" t="s">
        <v>18</v>
      </c>
    </row>
    <row r="179" spans="1:16" x14ac:dyDescent="0.4">
      <c r="A179" t="s">
        <v>277</v>
      </c>
      <c r="B179">
        <v>5</v>
      </c>
      <c r="C179">
        <v>1.25</v>
      </c>
      <c r="D179">
        <v>173</v>
      </c>
      <c r="E179">
        <v>10</v>
      </c>
      <c r="K179">
        <v>65</v>
      </c>
      <c r="L179">
        <v>168</v>
      </c>
      <c r="M179" t="s">
        <v>18</v>
      </c>
    </row>
    <row r="180" spans="1:16" x14ac:dyDescent="0.4">
      <c r="A180" t="s">
        <v>278</v>
      </c>
      <c r="B180">
        <v>3.9</v>
      </c>
      <c r="C180">
        <v>0.9</v>
      </c>
      <c r="D180">
        <v>173</v>
      </c>
      <c r="E180">
        <v>10</v>
      </c>
      <c r="K180">
        <v>65</v>
      </c>
      <c r="L180">
        <v>6</v>
      </c>
      <c r="M180" t="s">
        <v>13</v>
      </c>
    </row>
    <row r="181" spans="1:16" x14ac:dyDescent="0.4">
      <c r="A181" t="s">
        <v>279</v>
      </c>
      <c r="B181">
        <v>3.9</v>
      </c>
      <c r="C181">
        <v>0.9</v>
      </c>
      <c r="D181">
        <v>173</v>
      </c>
      <c r="E181">
        <v>10</v>
      </c>
      <c r="K181">
        <v>65</v>
      </c>
      <c r="L181">
        <v>24</v>
      </c>
      <c r="M181" t="s">
        <v>18</v>
      </c>
    </row>
    <row r="182" spans="1:16" x14ac:dyDescent="0.4">
      <c r="A182" t="s">
        <v>280</v>
      </c>
      <c r="B182">
        <v>2.5</v>
      </c>
      <c r="C182">
        <v>0.63</v>
      </c>
      <c r="D182">
        <v>173</v>
      </c>
      <c r="E182">
        <v>10</v>
      </c>
      <c r="K182">
        <v>65</v>
      </c>
      <c r="L182">
        <v>12</v>
      </c>
      <c r="M182" t="s">
        <v>18</v>
      </c>
    </row>
    <row r="183" spans="1:16" x14ac:dyDescent="0.4">
      <c r="A183" t="s">
        <v>281</v>
      </c>
      <c r="B183">
        <v>2.5</v>
      </c>
      <c r="C183">
        <v>0.63</v>
      </c>
      <c r="D183">
        <v>173</v>
      </c>
      <c r="E183">
        <v>10</v>
      </c>
      <c r="K183">
        <v>65</v>
      </c>
      <c r="L183">
        <v>24</v>
      </c>
      <c r="M183" t="s">
        <v>18</v>
      </c>
    </row>
    <row r="184" spans="1:16" x14ac:dyDescent="0.4">
      <c r="A184" t="s">
        <v>282</v>
      </c>
      <c r="B184">
        <v>1</v>
      </c>
      <c r="C184">
        <v>0.25</v>
      </c>
      <c r="D184">
        <v>173</v>
      </c>
      <c r="E184">
        <v>10</v>
      </c>
      <c r="K184">
        <v>65</v>
      </c>
      <c r="L184">
        <v>168</v>
      </c>
      <c r="M184" t="s">
        <v>18</v>
      </c>
    </row>
    <row r="185" spans="1:16" x14ac:dyDescent="0.4">
      <c r="A185" t="s">
        <v>283</v>
      </c>
      <c r="B185">
        <v>7.5</v>
      </c>
      <c r="C185">
        <v>0.75</v>
      </c>
      <c r="D185">
        <v>173</v>
      </c>
      <c r="E185">
        <v>10</v>
      </c>
      <c r="K185">
        <v>65</v>
      </c>
      <c r="L185">
        <v>24</v>
      </c>
      <c r="M185" t="s">
        <v>18</v>
      </c>
    </row>
    <row r="186" spans="1:16" x14ac:dyDescent="0.4">
      <c r="A186" t="s">
        <v>284</v>
      </c>
      <c r="B186">
        <v>7.5</v>
      </c>
      <c r="C186">
        <v>0.75</v>
      </c>
      <c r="D186">
        <v>173</v>
      </c>
      <c r="E186">
        <v>10</v>
      </c>
      <c r="K186">
        <v>65</v>
      </c>
      <c r="L186">
        <v>168</v>
      </c>
      <c r="M186" t="s">
        <v>18</v>
      </c>
    </row>
    <row r="187" spans="1:16" x14ac:dyDescent="0.4">
      <c r="A187" t="s">
        <v>285</v>
      </c>
      <c r="B187">
        <v>5</v>
      </c>
      <c r="C187">
        <v>0.5</v>
      </c>
      <c r="D187">
        <v>173</v>
      </c>
      <c r="E187">
        <v>10</v>
      </c>
      <c r="K187">
        <v>65</v>
      </c>
      <c r="L187">
        <v>12</v>
      </c>
      <c r="M187" t="s">
        <v>18</v>
      </c>
    </row>
    <row r="188" spans="1:16" x14ac:dyDescent="0.4">
      <c r="A188" t="s">
        <v>286</v>
      </c>
      <c r="B188">
        <v>2.5</v>
      </c>
      <c r="C188">
        <v>0.25</v>
      </c>
      <c r="D188">
        <v>173</v>
      </c>
      <c r="E188">
        <v>10</v>
      </c>
      <c r="K188">
        <v>65</v>
      </c>
      <c r="L188">
        <v>6</v>
      </c>
      <c r="M188" t="s">
        <v>18</v>
      </c>
    </row>
    <row r="189" spans="1:16" x14ac:dyDescent="0.4">
      <c r="A189" t="s">
        <v>287</v>
      </c>
      <c r="B189">
        <v>1</v>
      </c>
      <c r="C189">
        <v>0.1</v>
      </c>
      <c r="D189">
        <v>173</v>
      </c>
      <c r="E189">
        <v>10</v>
      </c>
      <c r="K189">
        <v>65</v>
      </c>
      <c r="L189">
        <v>4</v>
      </c>
      <c r="M189" t="s">
        <v>18</v>
      </c>
    </row>
    <row r="190" spans="1:16" x14ac:dyDescent="0.4">
      <c r="A190" t="s">
        <v>288</v>
      </c>
      <c r="B190">
        <v>2</v>
      </c>
      <c r="C190">
        <v>1</v>
      </c>
      <c r="D190">
        <v>187</v>
      </c>
      <c r="E190">
        <v>20</v>
      </c>
      <c r="K190">
        <v>170</v>
      </c>
      <c r="L190">
        <v>168</v>
      </c>
      <c r="M190" t="s">
        <v>30</v>
      </c>
      <c r="N190" t="s">
        <v>289</v>
      </c>
      <c r="O190" t="s">
        <v>290</v>
      </c>
      <c r="P190" t="s">
        <v>291</v>
      </c>
    </row>
    <row r="191" spans="1:16" x14ac:dyDescent="0.4">
      <c r="A191" t="s">
        <v>292</v>
      </c>
      <c r="B191">
        <v>3.3</v>
      </c>
      <c r="C191">
        <v>1</v>
      </c>
      <c r="D191">
        <v>94.5</v>
      </c>
      <c r="F191">
        <v>10.52</v>
      </c>
      <c r="K191">
        <v>95</v>
      </c>
      <c r="L191">
        <v>96</v>
      </c>
      <c r="M191" t="s">
        <v>134</v>
      </c>
      <c r="N191" s="3" t="s">
        <v>293</v>
      </c>
      <c r="O191" t="s">
        <v>294</v>
      </c>
      <c r="P191" t="s">
        <v>295</v>
      </c>
    </row>
    <row r="192" spans="1:16" x14ac:dyDescent="0.4">
      <c r="A192" t="s">
        <v>296</v>
      </c>
      <c r="B192">
        <v>0.26600000000000001</v>
      </c>
      <c r="C192">
        <f>0.009493/2</f>
        <v>4.7464999999999999E-3</v>
      </c>
      <c r="D192">
        <v>20</v>
      </c>
      <c r="E192">
        <v>0.39219999999999999</v>
      </c>
      <c r="F192">
        <v>0.1396</v>
      </c>
      <c r="K192">
        <v>100</v>
      </c>
      <c r="L192">
        <v>168</v>
      </c>
      <c r="M192" t="s">
        <v>297</v>
      </c>
      <c r="N192" s="3" t="s">
        <v>298</v>
      </c>
      <c r="O192" t="s">
        <v>299</v>
      </c>
      <c r="P192" t="s">
        <v>300</v>
      </c>
    </row>
    <row r="193" spans="1:18" x14ac:dyDescent="0.4">
      <c r="A193" t="s">
        <v>301</v>
      </c>
      <c r="B193">
        <v>0.26600000000000001</v>
      </c>
      <c r="C193">
        <v>4.7470000000000004E-3</v>
      </c>
      <c r="D193">
        <v>20</v>
      </c>
      <c r="E193">
        <v>0.39219999999999999</v>
      </c>
      <c r="F193">
        <v>0.1396</v>
      </c>
      <c r="K193">
        <v>140</v>
      </c>
      <c r="L193">
        <v>120</v>
      </c>
      <c r="M193" t="s">
        <v>297</v>
      </c>
      <c r="N193" s="1"/>
      <c r="P193" s="1"/>
    </row>
    <row r="194" spans="1:18" x14ac:dyDescent="0.4">
      <c r="A194" t="s">
        <v>302</v>
      </c>
      <c r="B194">
        <v>0.26</v>
      </c>
      <c r="C194">
        <f>0.006502/2</f>
        <v>3.251E-3</v>
      </c>
      <c r="D194">
        <v>20</v>
      </c>
      <c r="E194">
        <v>0.36420000000000002</v>
      </c>
      <c r="F194">
        <v>0.156</v>
      </c>
      <c r="K194">
        <v>140</v>
      </c>
      <c r="L194">
        <v>25</v>
      </c>
      <c r="M194" t="s">
        <v>297</v>
      </c>
      <c r="N194" s="1"/>
      <c r="P194" s="1"/>
      <c r="R194" s="1"/>
    </row>
    <row r="195" spans="1:18" x14ac:dyDescent="0.4">
      <c r="A195" t="s">
        <v>303</v>
      </c>
      <c r="B195">
        <v>0.26800000000000002</v>
      </c>
      <c r="C195">
        <f>0.05356/2</f>
        <v>2.6780000000000002E-2</v>
      </c>
      <c r="D195">
        <v>20</v>
      </c>
      <c r="E195">
        <v>0.39500000000000002</v>
      </c>
      <c r="F195">
        <v>0.1406</v>
      </c>
      <c r="K195">
        <v>140</v>
      </c>
      <c r="L195">
        <v>25</v>
      </c>
      <c r="M195" t="s">
        <v>297</v>
      </c>
      <c r="N195" s="1"/>
      <c r="P195" s="1"/>
      <c r="R195" s="1"/>
    </row>
    <row r="196" spans="1:18" x14ac:dyDescent="0.4">
      <c r="A196" t="s">
        <v>304</v>
      </c>
      <c r="B196">
        <v>2.3869999999999998E-3</v>
      </c>
      <c r="C196">
        <f>0.0000549/2</f>
        <v>2.745E-5</v>
      </c>
      <c r="D196">
        <v>0.97846699999999998</v>
      </c>
      <c r="E196">
        <f>0.009546</f>
        <v>9.5460000000000007E-3</v>
      </c>
      <c r="K196">
        <v>150</v>
      </c>
      <c r="L196">
        <v>15</v>
      </c>
      <c r="M196" t="s">
        <v>32</v>
      </c>
      <c r="N196" t="s">
        <v>305</v>
      </c>
      <c r="O196" t="s">
        <v>923</v>
      </c>
      <c r="P196" t="s">
        <v>924</v>
      </c>
      <c r="R196" s="1"/>
    </row>
    <row r="197" spans="1:18" x14ac:dyDescent="0.4">
      <c r="A197" t="s">
        <v>306</v>
      </c>
      <c r="B197">
        <v>2.3640000000000002E-3</v>
      </c>
      <c r="C197">
        <f>0.0000544/2</f>
        <v>2.72E-5</v>
      </c>
      <c r="D197">
        <v>0.96921400000000002</v>
      </c>
      <c r="E197">
        <v>1.4184E-2</v>
      </c>
      <c r="K197">
        <v>150</v>
      </c>
      <c r="L197">
        <v>15</v>
      </c>
      <c r="M197" t="s">
        <v>32</v>
      </c>
      <c r="R197" s="1"/>
    </row>
    <row r="198" spans="1:18" x14ac:dyDescent="0.4">
      <c r="A198" t="s">
        <v>307</v>
      </c>
      <c r="B198">
        <v>2.3609999999999998E-3</v>
      </c>
      <c r="C198">
        <f>0.001181/2</f>
        <v>5.9049999999999999E-4</v>
      </c>
      <c r="D198">
        <v>0.96812299999999996</v>
      </c>
      <c r="E198">
        <f>0.014168</f>
        <v>1.4168E-2</v>
      </c>
      <c r="K198">
        <v>150</v>
      </c>
      <c r="L198">
        <v>15</v>
      </c>
      <c r="M198" t="s">
        <v>32</v>
      </c>
    </row>
    <row r="199" spans="1:18" x14ac:dyDescent="0.4">
      <c r="A199" t="s">
        <v>308</v>
      </c>
      <c r="B199">
        <v>2.3640000000000002E-3</v>
      </c>
      <c r="C199">
        <f>0.000215/2</f>
        <v>1.075E-4</v>
      </c>
      <c r="D199">
        <v>0.969059</v>
      </c>
      <c r="E199">
        <v>1.4180999999999999E-2</v>
      </c>
      <c r="K199">
        <v>150</v>
      </c>
      <c r="L199">
        <v>15</v>
      </c>
      <c r="M199" t="s">
        <v>32</v>
      </c>
    </row>
    <row r="200" spans="1:18" x14ac:dyDescent="0.4">
      <c r="A200" t="s">
        <v>309</v>
      </c>
      <c r="B200">
        <v>2.3630000000000001E-3</v>
      </c>
      <c r="C200">
        <f>0.00043/2</f>
        <v>2.1499999999999999E-4</v>
      </c>
      <c r="D200">
        <v>0.96884999999999999</v>
      </c>
      <c r="E200">
        <v>1.4178E-2</v>
      </c>
      <c r="K200">
        <v>110</v>
      </c>
      <c r="L200">
        <v>15</v>
      </c>
      <c r="M200" t="s">
        <v>22</v>
      </c>
    </row>
    <row r="201" spans="1:18" x14ac:dyDescent="0.4">
      <c r="A201" t="s">
        <v>310</v>
      </c>
      <c r="B201">
        <v>2.3630000000000001E-3</v>
      </c>
      <c r="C201">
        <f>0.00043/2</f>
        <v>2.1499999999999999E-4</v>
      </c>
      <c r="D201">
        <v>0.96884999999999999</v>
      </c>
      <c r="E201">
        <v>1.4178E-2</v>
      </c>
      <c r="K201">
        <v>130</v>
      </c>
      <c r="L201">
        <v>15</v>
      </c>
      <c r="M201" t="s">
        <v>32</v>
      </c>
    </row>
    <row r="202" spans="1:18" x14ac:dyDescent="0.4">
      <c r="A202" t="s">
        <v>311</v>
      </c>
      <c r="B202">
        <v>2.3609999999999998E-3</v>
      </c>
      <c r="C202">
        <f>0.001181/2</f>
        <v>5.9049999999999999E-4</v>
      </c>
      <c r="D202">
        <v>0.96812299999999996</v>
      </c>
      <c r="E202">
        <v>1.4168E-2</v>
      </c>
      <c r="K202">
        <v>130</v>
      </c>
      <c r="L202">
        <v>2</v>
      </c>
      <c r="M202" t="s">
        <v>22</v>
      </c>
    </row>
    <row r="203" spans="1:18" x14ac:dyDescent="0.4">
      <c r="A203" t="s">
        <v>312</v>
      </c>
      <c r="B203">
        <v>2.3609999999999998E-3</v>
      </c>
      <c r="C203">
        <f>0.001181/2</f>
        <v>5.9049999999999999E-4</v>
      </c>
      <c r="D203">
        <v>0.96812299999999996</v>
      </c>
      <c r="E203">
        <v>1.4168E-2</v>
      </c>
      <c r="K203">
        <v>130</v>
      </c>
      <c r="L203">
        <v>8</v>
      </c>
      <c r="M203" t="s">
        <v>32</v>
      </c>
    </row>
    <row r="204" spans="1:18" x14ac:dyDescent="0.4">
      <c r="A204" t="s">
        <v>313</v>
      </c>
      <c r="B204">
        <v>2.3640000000000002E-3</v>
      </c>
      <c r="C204">
        <f>0.0000272/2</f>
        <v>1.36E-5</v>
      </c>
      <c r="D204">
        <v>0.96924100000000002</v>
      </c>
      <c r="E204">
        <v>1.4184E-2</v>
      </c>
      <c r="K204">
        <v>150</v>
      </c>
      <c r="L204">
        <v>15</v>
      </c>
      <c r="M204" t="s">
        <v>32</v>
      </c>
    </row>
    <row r="205" spans="1:18" x14ac:dyDescent="0.4">
      <c r="A205" t="s">
        <v>314</v>
      </c>
      <c r="B205">
        <v>20</v>
      </c>
      <c r="C205">
        <v>1</v>
      </c>
      <c r="D205">
        <v>600</v>
      </c>
      <c r="E205">
        <v>5.8</v>
      </c>
      <c r="K205">
        <v>165</v>
      </c>
      <c r="L205">
        <v>65</v>
      </c>
      <c r="M205" t="s">
        <v>24</v>
      </c>
      <c r="N205" t="s">
        <v>315</v>
      </c>
      <c r="O205" t="s">
        <v>316</v>
      </c>
      <c r="P205" t="s">
        <v>317</v>
      </c>
    </row>
    <row r="206" spans="1:18" x14ac:dyDescent="0.4">
      <c r="A206" t="s">
        <v>318</v>
      </c>
      <c r="B206">
        <v>20</v>
      </c>
      <c r="C206">
        <v>1</v>
      </c>
      <c r="D206">
        <v>600</v>
      </c>
      <c r="E206">
        <v>6.6</v>
      </c>
      <c r="K206">
        <v>165</v>
      </c>
      <c r="L206">
        <v>65</v>
      </c>
      <c r="M206" t="s">
        <v>24</v>
      </c>
      <c r="N206" s="2"/>
    </row>
    <row r="207" spans="1:18" x14ac:dyDescent="0.4">
      <c r="A207" t="s">
        <v>319</v>
      </c>
      <c r="B207">
        <v>26</v>
      </c>
      <c r="C207">
        <v>1</v>
      </c>
      <c r="D207">
        <v>780</v>
      </c>
      <c r="E207">
        <v>6.76</v>
      </c>
      <c r="K207">
        <v>165</v>
      </c>
      <c r="L207">
        <v>65</v>
      </c>
      <c r="M207" t="s">
        <v>34</v>
      </c>
    </row>
    <row r="208" spans="1:18" x14ac:dyDescent="0.4">
      <c r="A208" t="s">
        <v>320</v>
      </c>
      <c r="B208">
        <v>26</v>
      </c>
      <c r="C208">
        <v>1</v>
      </c>
      <c r="D208">
        <v>780</v>
      </c>
      <c r="E208">
        <v>7.54</v>
      </c>
      <c r="K208">
        <v>165</v>
      </c>
      <c r="L208">
        <v>65</v>
      </c>
      <c r="M208" t="s">
        <v>34</v>
      </c>
    </row>
    <row r="209" spans="1:18" x14ac:dyDescent="0.4">
      <c r="A209" t="s">
        <v>321</v>
      </c>
      <c r="B209">
        <v>40</v>
      </c>
      <c r="C209">
        <v>1</v>
      </c>
      <c r="D209">
        <v>1200</v>
      </c>
      <c r="E209">
        <v>8.4</v>
      </c>
      <c r="K209">
        <v>165</v>
      </c>
      <c r="L209">
        <v>65</v>
      </c>
      <c r="M209" t="s">
        <v>34</v>
      </c>
    </row>
    <row r="210" spans="1:18" x14ac:dyDescent="0.4">
      <c r="A210" t="s">
        <v>322</v>
      </c>
      <c r="B210">
        <v>40</v>
      </c>
      <c r="C210">
        <v>1</v>
      </c>
      <c r="D210">
        <v>1200</v>
      </c>
      <c r="E210">
        <v>10.4</v>
      </c>
      <c r="K210">
        <v>165</v>
      </c>
      <c r="L210">
        <v>65</v>
      </c>
      <c r="M210" t="s">
        <v>34</v>
      </c>
    </row>
    <row r="211" spans="1:18" x14ac:dyDescent="0.4">
      <c r="A211" t="s">
        <v>323</v>
      </c>
      <c r="B211">
        <v>6.3559000000000004E-2</v>
      </c>
      <c r="C211">
        <f>0.004237/2</f>
        <v>2.1185000000000002E-3</v>
      </c>
      <c r="D211">
        <v>0.84745800000000004</v>
      </c>
      <c r="F211">
        <v>4.2373000000000001E-2</v>
      </c>
      <c r="K211">
        <v>170</v>
      </c>
      <c r="L211">
        <v>144</v>
      </c>
      <c r="M211" t="s">
        <v>28</v>
      </c>
      <c r="N211" t="s">
        <v>324</v>
      </c>
      <c r="O211" t="s">
        <v>325</v>
      </c>
      <c r="P211" t="s">
        <v>326</v>
      </c>
    </row>
    <row r="212" spans="1:18" x14ac:dyDescent="0.4">
      <c r="A212" t="s">
        <v>328</v>
      </c>
      <c r="B212">
        <v>1.6722000000000001E-2</v>
      </c>
      <c r="C212">
        <f>0.016722/2</f>
        <v>8.3610000000000004E-3</v>
      </c>
      <c r="D212">
        <v>0.83621000000000001</v>
      </c>
      <c r="E212">
        <v>6.5199999999999994E-2</v>
      </c>
      <c r="K212">
        <v>80</v>
      </c>
      <c r="L212">
        <v>2</v>
      </c>
      <c r="M212" t="s">
        <v>13</v>
      </c>
      <c r="N212" t="s">
        <v>329</v>
      </c>
      <c r="O212" t="s">
        <v>330</v>
      </c>
      <c r="P212" t="s">
        <v>331</v>
      </c>
    </row>
    <row r="213" spans="1:18" x14ac:dyDescent="0.4">
      <c r="A213" t="s">
        <v>332</v>
      </c>
      <c r="B213">
        <v>1.6722000000000001E-2</v>
      </c>
      <c r="C213">
        <f>0.016722/2</f>
        <v>8.3610000000000004E-3</v>
      </c>
      <c r="D213">
        <v>0.83621000000000001</v>
      </c>
      <c r="E213">
        <v>6.5199999999999994E-2</v>
      </c>
      <c r="K213">
        <v>80</v>
      </c>
      <c r="L213">
        <v>3</v>
      </c>
      <c r="M213" t="s">
        <v>13</v>
      </c>
    </row>
    <row r="214" spans="1:18" x14ac:dyDescent="0.4">
      <c r="A214" t="s">
        <v>333</v>
      </c>
      <c r="B214">
        <v>1.6722000000000001E-2</v>
      </c>
      <c r="C214">
        <f>0.016722/2</f>
        <v>8.3610000000000004E-3</v>
      </c>
      <c r="D214">
        <v>0.83621000000000001</v>
      </c>
      <c r="E214">
        <v>6.5199999999999994E-2</v>
      </c>
      <c r="K214">
        <v>80</v>
      </c>
      <c r="L214">
        <v>4</v>
      </c>
      <c r="M214" t="s">
        <v>13</v>
      </c>
    </row>
    <row r="215" spans="1:18" x14ac:dyDescent="0.4">
      <c r="A215" t="s">
        <v>334</v>
      </c>
      <c r="B215">
        <v>4.8800000000000003E-2</v>
      </c>
      <c r="C215">
        <f>0.010844/2</f>
        <v>5.4219999999999997E-3</v>
      </c>
      <c r="D215">
        <v>0.89241000000000004</v>
      </c>
      <c r="F215">
        <v>2.3963999999999999E-2</v>
      </c>
      <c r="K215">
        <v>175</v>
      </c>
      <c r="L215">
        <v>12</v>
      </c>
      <c r="M215" t="s">
        <v>28</v>
      </c>
      <c r="N215" s="4" t="s">
        <v>335</v>
      </c>
      <c r="O215" t="s">
        <v>336</v>
      </c>
      <c r="P215" s="4" t="s">
        <v>337</v>
      </c>
      <c r="R215" s="5"/>
    </row>
    <row r="216" spans="1:18" x14ac:dyDescent="0.4">
      <c r="A216" t="s">
        <v>338</v>
      </c>
      <c r="B216">
        <v>1.5671999999999998E-2</v>
      </c>
      <c r="C216">
        <v>6.2700000000000004E-3</v>
      </c>
      <c r="D216">
        <v>0.75231000000000003</v>
      </c>
      <c r="E216">
        <v>0.11285299999999999</v>
      </c>
      <c r="K216">
        <v>60</v>
      </c>
      <c r="L216">
        <v>48</v>
      </c>
      <c r="M216" t="s">
        <v>20</v>
      </c>
      <c r="N216" t="s">
        <v>339</v>
      </c>
      <c r="O216" t="s">
        <v>340</v>
      </c>
      <c r="P216" t="s">
        <v>341</v>
      </c>
    </row>
    <row r="217" spans="1:18" x14ac:dyDescent="0.4">
      <c r="A217" t="s">
        <v>342</v>
      </c>
      <c r="B217">
        <v>2.1957999999999998E-2</v>
      </c>
      <c r="C217">
        <f>0.00439/2</f>
        <v>2.1949999999999999E-3</v>
      </c>
      <c r="D217">
        <v>0.97589300000000001</v>
      </c>
      <c r="F217">
        <v>8.5499999999999997E-4</v>
      </c>
      <c r="K217">
        <v>150</v>
      </c>
      <c r="L217">
        <v>48</v>
      </c>
      <c r="M217" t="s">
        <v>343</v>
      </c>
      <c r="N217" t="s">
        <v>344</v>
      </c>
      <c r="O217" t="s">
        <v>345</v>
      </c>
      <c r="P217" t="s">
        <v>346</v>
      </c>
      <c r="R217" s="5"/>
    </row>
    <row r="218" spans="1:18" x14ac:dyDescent="0.4">
      <c r="A218" t="s">
        <v>347</v>
      </c>
      <c r="B218">
        <v>2.1954999999999999E-2</v>
      </c>
      <c r="C218">
        <f>0.00439/2</f>
        <v>2.1949999999999999E-3</v>
      </c>
      <c r="D218">
        <v>0.97575800000000001</v>
      </c>
      <c r="F218">
        <v>9.2400000000000002E-4</v>
      </c>
      <c r="K218">
        <v>150</v>
      </c>
      <c r="L218">
        <v>48</v>
      </c>
      <c r="M218" t="s">
        <v>343</v>
      </c>
    </row>
    <row r="219" spans="1:18" x14ac:dyDescent="0.4">
      <c r="A219" t="s">
        <v>348</v>
      </c>
      <c r="B219">
        <v>2.1951999999999999E-2</v>
      </c>
      <c r="C219">
        <f>0.000549/2</f>
        <v>2.745E-4</v>
      </c>
      <c r="D219">
        <v>0.97565100000000005</v>
      </c>
      <c r="F219">
        <v>9.2400000000000002E-4</v>
      </c>
      <c r="K219">
        <v>150</v>
      </c>
      <c r="L219">
        <v>48</v>
      </c>
      <c r="M219" t="s">
        <v>343</v>
      </c>
    </row>
    <row r="220" spans="1:18" x14ac:dyDescent="0.4">
      <c r="A220" t="s">
        <v>349</v>
      </c>
      <c r="B220">
        <v>2.1954999999999999E-2</v>
      </c>
      <c r="C220">
        <v>2.1949999999999999E-3</v>
      </c>
      <c r="D220">
        <v>0.97575800000000001</v>
      </c>
      <c r="F220">
        <v>9.2400000000000002E-4</v>
      </c>
      <c r="K220">
        <v>150</v>
      </c>
      <c r="L220">
        <v>48</v>
      </c>
      <c r="M220" t="s">
        <v>343</v>
      </c>
    </row>
    <row r="221" spans="1:18" x14ac:dyDescent="0.4">
      <c r="A221" t="s">
        <v>350</v>
      </c>
      <c r="B221">
        <v>6.1015E-2</v>
      </c>
      <c r="C221">
        <v>4.0679999999999996E-3</v>
      </c>
      <c r="D221">
        <v>0.82621</v>
      </c>
      <c r="E221">
        <v>2.2372E-2</v>
      </c>
      <c r="F221">
        <v>2.196E-2</v>
      </c>
      <c r="K221">
        <v>160</v>
      </c>
      <c r="L221">
        <v>48</v>
      </c>
      <c r="M221" t="s">
        <v>28</v>
      </c>
      <c r="N221" t="s">
        <v>351</v>
      </c>
      <c r="O221" t="s">
        <v>352</v>
      </c>
      <c r="P221" t="s">
        <v>353</v>
      </c>
      <c r="R221" t="s">
        <v>327</v>
      </c>
    </row>
    <row r="222" spans="1:18" x14ac:dyDescent="0.4">
      <c r="A222" t="s">
        <v>354</v>
      </c>
      <c r="B222">
        <v>7.4770000000000001E-3</v>
      </c>
      <c r="C222">
        <f>0.010313/2</f>
        <v>5.1564999999999996E-3</v>
      </c>
      <c r="D222">
        <v>0.90505000000000002</v>
      </c>
      <c r="E222">
        <v>3.8580000000000003E-2</v>
      </c>
      <c r="K222">
        <v>80</v>
      </c>
      <c r="L222">
        <v>6</v>
      </c>
      <c r="M222" t="s">
        <v>13</v>
      </c>
      <c r="N222" t="s">
        <v>355</v>
      </c>
      <c r="O222" t="s">
        <v>356</v>
      </c>
      <c r="P222" t="s">
        <v>357</v>
      </c>
    </row>
    <row r="223" spans="1:18" x14ac:dyDescent="0.4">
      <c r="A223" t="s">
        <v>358</v>
      </c>
      <c r="B223">
        <v>1.3073E-2</v>
      </c>
      <c r="C223">
        <f>0.018032/2</f>
        <v>9.0159999999999997E-3</v>
      </c>
      <c r="D223">
        <v>0.83397900000000003</v>
      </c>
      <c r="E223">
        <v>6.7458000000000004E-2</v>
      </c>
      <c r="K223">
        <v>80</v>
      </c>
      <c r="L223">
        <v>48</v>
      </c>
      <c r="M223" t="s">
        <v>20</v>
      </c>
    </row>
    <row r="224" spans="1:18" x14ac:dyDescent="0.4">
      <c r="A224" t="s">
        <v>359</v>
      </c>
      <c r="B224">
        <v>4.3994999999999999E-2</v>
      </c>
      <c r="C224">
        <f>0.006159/2</f>
        <v>3.0795000000000002E-3</v>
      </c>
      <c r="D224">
        <v>0.79191199999999995</v>
      </c>
      <c r="E224">
        <v>7.9190999999999998E-2</v>
      </c>
      <c r="K224">
        <v>50</v>
      </c>
      <c r="L224">
        <v>50</v>
      </c>
      <c r="M224" t="s">
        <v>18</v>
      </c>
      <c r="N224" s="2"/>
    </row>
    <row r="225" spans="1:18" x14ac:dyDescent="0.4">
      <c r="A225" t="s">
        <v>360</v>
      </c>
      <c r="B225">
        <v>4.3166999999999997E-2</v>
      </c>
      <c r="C225">
        <f>0.007166/2</f>
        <v>3.5829999999999998E-3</v>
      </c>
      <c r="D225">
        <v>0.86334</v>
      </c>
      <c r="E225">
        <v>4.3166999999999997E-2</v>
      </c>
      <c r="K225">
        <v>100</v>
      </c>
      <c r="L225">
        <v>24</v>
      </c>
      <c r="M225" t="s">
        <v>18</v>
      </c>
      <c r="N225" s="3" t="s">
        <v>361</v>
      </c>
      <c r="O225" t="s">
        <v>362</v>
      </c>
      <c r="P225" t="s">
        <v>363</v>
      </c>
    </row>
    <row r="226" spans="1:18" x14ac:dyDescent="0.4">
      <c r="A226" t="s">
        <v>364</v>
      </c>
      <c r="B226">
        <v>5.2450999999999998E-2</v>
      </c>
      <c r="C226">
        <f>0.003497/2</f>
        <v>1.7485000000000001E-3</v>
      </c>
      <c r="D226">
        <v>0.87418700000000005</v>
      </c>
      <c r="E226">
        <v>1.9931000000000001E-2</v>
      </c>
      <c r="F226">
        <v>1.882E-2</v>
      </c>
      <c r="K226">
        <v>170</v>
      </c>
      <c r="L226">
        <v>24</v>
      </c>
      <c r="M226" t="s">
        <v>28</v>
      </c>
      <c r="N226" t="s">
        <v>365</v>
      </c>
      <c r="O226" t="s">
        <v>366</v>
      </c>
      <c r="P226" t="s">
        <v>367</v>
      </c>
    </row>
    <row r="227" spans="1:18" x14ac:dyDescent="0.4">
      <c r="A227" t="s">
        <v>368</v>
      </c>
      <c r="B227">
        <v>4.143E-3</v>
      </c>
      <c r="C227">
        <f>0.001657/2</f>
        <v>8.2850000000000003E-4</v>
      </c>
      <c r="D227">
        <v>0.82850000000000001</v>
      </c>
      <c r="E227">
        <v>8.2849999999999993E-2</v>
      </c>
      <c r="K227">
        <v>65</v>
      </c>
      <c r="L227">
        <v>4</v>
      </c>
      <c r="M227" t="s">
        <v>13</v>
      </c>
      <c r="N227" t="s">
        <v>369</v>
      </c>
      <c r="O227" t="s">
        <v>370</v>
      </c>
      <c r="P227" t="s">
        <v>371</v>
      </c>
      <c r="R227" s="1"/>
    </row>
    <row r="228" spans="1:18" x14ac:dyDescent="0.4">
      <c r="A228" t="s">
        <v>372</v>
      </c>
      <c r="B228">
        <v>0.37313000000000002</v>
      </c>
      <c r="C228">
        <f>0.007463/2</f>
        <v>3.7315E-3</v>
      </c>
      <c r="D228">
        <v>0.93286000000000002</v>
      </c>
      <c r="F228">
        <v>1.1194000000000001E-2</v>
      </c>
      <c r="K228">
        <v>150</v>
      </c>
      <c r="L228">
        <v>4</v>
      </c>
      <c r="M228" t="s">
        <v>28</v>
      </c>
      <c r="N228" t="s">
        <v>373</v>
      </c>
    </row>
    <row r="229" spans="1:18" x14ac:dyDescent="0.4">
      <c r="A229" t="s">
        <v>374</v>
      </c>
      <c r="B229">
        <v>1.2048E-2</v>
      </c>
      <c r="C229">
        <f>0.012048/2</f>
        <v>6.0239999999999998E-3</v>
      </c>
      <c r="D229">
        <v>0.49397600000000003</v>
      </c>
      <c r="E229">
        <v>0.24096400000000001</v>
      </c>
      <c r="K229">
        <v>100</v>
      </c>
      <c r="L229">
        <v>24</v>
      </c>
      <c r="M229" t="s">
        <v>20</v>
      </c>
      <c r="N229" t="s">
        <v>375</v>
      </c>
      <c r="O229" t="s">
        <v>376</v>
      </c>
      <c r="P229" t="s">
        <v>377</v>
      </c>
    </row>
    <row r="230" spans="1:18" x14ac:dyDescent="0.4">
      <c r="A230" t="s">
        <v>378</v>
      </c>
      <c r="B230">
        <v>4.5045000000000002E-2</v>
      </c>
      <c r="C230">
        <f>0.009009/2</f>
        <v>4.5044999999999998E-3</v>
      </c>
      <c r="D230">
        <v>0.81081099999999995</v>
      </c>
      <c r="F230">
        <v>6.7568000000000003E-2</v>
      </c>
      <c r="K230">
        <v>150</v>
      </c>
      <c r="L230">
        <v>4</v>
      </c>
      <c r="M230" t="s">
        <v>26</v>
      </c>
      <c r="N230" t="s">
        <v>379</v>
      </c>
      <c r="O230" t="s">
        <v>380</v>
      </c>
      <c r="P230" t="s">
        <v>381</v>
      </c>
    </row>
    <row r="231" spans="1:18" x14ac:dyDescent="0.4">
      <c r="A231" t="s">
        <v>382</v>
      </c>
      <c r="B231">
        <v>100</v>
      </c>
      <c r="C231">
        <v>5</v>
      </c>
      <c r="D231">
        <v>2500</v>
      </c>
      <c r="E231">
        <v>4.24</v>
      </c>
      <c r="K231">
        <v>180</v>
      </c>
      <c r="L231">
        <v>48</v>
      </c>
      <c r="M231" t="s">
        <v>34</v>
      </c>
      <c r="N231" t="s">
        <v>383</v>
      </c>
      <c r="O231" t="s">
        <v>384</v>
      </c>
      <c r="P231" t="s">
        <v>385</v>
      </c>
    </row>
    <row r="232" spans="1:18" x14ac:dyDescent="0.4">
      <c r="A232" t="s">
        <v>386</v>
      </c>
      <c r="B232">
        <v>1</v>
      </c>
      <c r="C232">
        <v>0.02</v>
      </c>
      <c r="D232">
        <v>20</v>
      </c>
      <c r="E232">
        <v>0.4</v>
      </c>
      <c r="K232">
        <v>170</v>
      </c>
      <c r="L232">
        <v>144</v>
      </c>
      <c r="M232" t="s">
        <v>24</v>
      </c>
      <c r="N232" t="s">
        <v>387</v>
      </c>
      <c r="O232" t="s">
        <v>388</v>
      </c>
      <c r="P232" t="s">
        <v>389</v>
      </c>
    </row>
    <row r="233" spans="1:18" x14ac:dyDescent="0.4">
      <c r="A233" t="s">
        <v>390</v>
      </c>
      <c r="B233">
        <v>1</v>
      </c>
      <c r="C233">
        <v>5.5E-2</v>
      </c>
      <c r="D233">
        <v>11.6</v>
      </c>
      <c r="E233">
        <v>0.46600000000000003</v>
      </c>
      <c r="F233">
        <f>0.077*2</f>
        <v>0.154</v>
      </c>
      <c r="K233">
        <v>100</v>
      </c>
      <c r="L233">
        <v>96</v>
      </c>
      <c r="M233" t="s">
        <v>297</v>
      </c>
      <c r="N233" t="s">
        <v>391</v>
      </c>
      <c r="O233" t="s">
        <v>392</v>
      </c>
      <c r="P233" t="s">
        <v>393</v>
      </c>
    </row>
    <row r="234" spans="1:18" x14ac:dyDescent="0.4">
      <c r="A234" t="s">
        <v>394</v>
      </c>
      <c r="B234">
        <v>1</v>
      </c>
      <c r="C234">
        <v>5.5E-2</v>
      </c>
      <c r="D234">
        <v>11.6</v>
      </c>
      <c r="E234">
        <v>0.46600000000000003</v>
      </c>
      <c r="F234">
        <f>0.077*2</f>
        <v>0.154</v>
      </c>
      <c r="K234">
        <v>100</v>
      </c>
      <c r="L234">
        <v>120</v>
      </c>
      <c r="M234" t="s">
        <v>297</v>
      </c>
      <c r="N234" t="s">
        <v>395</v>
      </c>
      <c r="O234" t="s">
        <v>396</v>
      </c>
      <c r="P234" t="s">
        <v>397</v>
      </c>
    </row>
    <row r="235" spans="1:18" x14ac:dyDescent="0.4">
      <c r="A235" t="s">
        <v>398</v>
      </c>
      <c r="B235">
        <v>1</v>
      </c>
      <c r="C235">
        <v>0.05</v>
      </c>
      <c r="D235">
        <v>11.6</v>
      </c>
      <c r="E235">
        <v>0.46600000000000003</v>
      </c>
      <c r="F235">
        <v>0.154</v>
      </c>
      <c r="K235">
        <v>100</v>
      </c>
      <c r="L235">
        <v>120</v>
      </c>
      <c r="M235" t="s">
        <v>297</v>
      </c>
    </row>
    <row r="236" spans="1:18" x14ac:dyDescent="0.4">
      <c r="A236" t="s">
        <v>399</v>
      </c>
      <c r="B236">
        <v>1</v>
      </c>
      <c r="C236">
        <v>4.4999999999999998E-2</v>
      </c>
      <c r="D236">
        <v>11.6</v>
      </c>
      <c r="E236">
        <v>0.46600000000000003</v>
      </c>
      <c r="F236">
        <v>0.154</v>
      </c>
      <c r="K236">
        <v>100</v>
      </c>
      <c r="L236">
        <v>120</v>
      </c>
      <c r="M236" t="s">
        <v>297</v>
      </c>
    </row>
    <row r="237" spans="1:18" x14ac:dyDescent="0.4">
      <c r="A237" t="s">
        <v>400</v>
      </c>
      <c r="B237">
        <v>1</v>
      </c>
      <c r="C237">
        <v>0.04</v>
      </c>
      <c r="D237">
        <v>14</v>
      </c>
      <c r="E237">
        <v>0.52</v>
      </c>
      <c r="F237">
        <v>0.18</v>
      </c>
      <c r="K237">
        <v>120</v>
      </c>
      <c r="L237">
        <v>24</v>
      </c>
      <c r="M237" t="s">
        <v>297</v>
      </c>
    </row>
    <row r="238" spans="1:18" x14ac:dyDescent="0.4">
      <c r="A238" t="s">
        <v>401</v>
      </c>
      <c r="B238">
        <v>6.1162000000000001E-2</v>
      </c>
      <c r="C238">
        <f>0.006728/2</f>
        <v>3.3639999999999998E-3</v>
      </c>
      <c r="D238">
        <v>0.85626899999999995</v>
      </c>
      <c r="E238">
        <v>0.28134999999999999</v>
      </c>
      <c r="F238">
        <v>9.7859999999999996E-3</v>
      </c>
      <c r="K238">
        <v>100</v>
      </c>
      <c r="L238">
        <v>142</v>
      </c>
      <c r="M238" t="s">
        <v>297</v>
      </c>
      <c r="N238" t="s">
        <v>402</v>
      </c>
      <c r="O238" t="s">
        <v>779</v>
      </c>
      <c r="P238" t="s">
        <v>780</v>
      </c>
    </row>
    <row r="239" spans="1:18" x14ac:dyDescent="0.4">
      <c r="A239" t="s">
        <v>403</v>
      </c>
      <c r="B239">
        <v>6.1162000000000001E-2</v>
      </c>
      <c r="C239">
        <f>0.006728/2</f>
        <v>3.3639999999999998E-3</v>
      </c>
      <c r="D239">
        <v>0.85626899999999995</v>
      </c>
      <c r="E239">
        <v>0.28134999999999999</v>
      </c>
      <c r="F239">
        <v>9.7859999999999996E-3</v>
      </c>
      <c r="K239">
        <v>100</v>
      </c>
      <c r="L239">
        <v>192</v>
      </c>
      <c r="M239" t="s">
        <v>297</v>
      </c>
      <c r="N239" t="s">
        <v>781</v>
      </c>
      <c r="O239" t="s">
        <v>782</v>
      </c>
      <c r="P239" t="s">
        <v>783</v>
      </c>
    </row>
    <row r="240" spans="1:18" x14ac:dyDescent="0.4">
      <c r="A240" t="s">
        <v>405</v>
      </c>
      <c r="B240">
        <v>20</v>
      </c>
      <c r="C240">
        <v>1.3</v>
      </c>
      <c r="D240">
        <v>1000</v>
      </c>
      <c r="F240">
        <v>20.399999999999999</v>
      </c>
      <c r="K240">
        <v>180</v>
      </c>
      <c r="L240">
        <v>72</v>
      </c>
      <c r="M240" t="s">
        <v>28</v>
      </c>
    </row>
    <row r="241" spans="1:16" x14ac:dyDescent="0.4">
      <c r="A241" t="s">
        <v>406</v>
      </c>
      <c r="B241">
        <v>30</v>
      </c>
      <c r="C241">
        <v>1</v>
      </c>
      <c r="D241">
        <v>500</v>
      </c>
      <c r="E241">
        <v>11.4</v>
      </c>
      <c r="F241">
        <v>10.8</v>
      </c>
      <c r="K241">
        <v>170</v>
      </c>
      <c r="L241">
        <v>70</v>
      </c>
      <c r="M241" t="s">
        <v>28</v>
      </c>
      <c r="N241" t="s">
        <v>407</v>
      </c>
      <c r="O241" t="s">
        <v>408</v>
      </c>
      <c r="P241" t="s">
        <v>404</v>
      </c>
    </row>
    <row r="242" spans="1:16" x14ac:dyDescent="0.4">
      <c r="A242" t="s">
        <v>409</v>
      </c>
      <c r="B242">
        <v>1</v>
      </c>
      <c r="C242">
        <v>0.8</v>
      </c>
      <c r="D242">
        <v>44.8</v>
      </c>
      <c r="E242">
        <v>0.1</v>
      </c>
      <c r="F242">
        <v>1.44</v>
      </c>
      <c r="K242">
        <v>140</v>
      </c>
      <c r="L242">
        <v>12</v>
      </c>
      <c r="M242" t="s">
        <v>26</v>
      </c>
    </row>
    <row r="243" spans="1:16" x14ac:dyDescent="0.4">
      <c r="A243" t="s">
        <v>410</v>
      </c>
      <c r="B243">
        <v>55</v>
      </c>
      <c r="C243">
        <v>1</v>
      </c>
      <c r="D243">
        <v>600</v>
      </c>
      <c r="F243">
        <v>15</v>
      </c>
      <c r="K243">
        <v>150</v>
      </c>
      <c r="L243">
        <v>240</v>
      </c>
      <c r="M243" t="s">
        <v>26</v>
      </c>
    </row>
    <row r="244" spans="1:16" x14ac:dyDescent="0.4">
      <c r="A244" t="s">
        <v>411</v>
      </c>
      <c r="B244">
        <v>9</v>
      </c>
      <c r="C244">
        <v>1</v>
      </c>
      <c r="D244">
        <v>720</v>
      </c>
      <c r="F244">
        <v>14.4</v>
      </c>
      <c r="K244">
        <v>150</v>
      </c>
      <c r="L244">
        <v>48</v>
      </c>
      <c r="M244" t="s">
        <v>26</v>
      </c>
    </row>
    <row r="245" spans="1:16" x14ac:dyDescent="0.4">
      <c r="A245" t="s">
        <v>412</v>
      </c>
      <c r="B245">
        <v>6.4</v>
      </c>
      <c r="C245">
        <v>1</v>
      </c>
      <c r="D245">
        <v>164.6</v>
      </c>
      <c r="F245">
        <v>11.2</v>
      </c>
      <c r="K245">
        <v>165</v>
      </c>
      <c r="L245">
        <v>72</v>
      </c>
      <c r="M245" t="s">
        <v>26</v>
      </c>
    </row>
    <row r="246" spans="1:16" x14ac:dyDescent="0.4">
      <c r="A246" t="s">
        <v>413</v>
      </c>
      <c r="B246">
        <v>1</v>
      </c>
      <c r="C246">
        <v>0.05</v>
      </c>
      <c r="D246">
        <v>14</v>
      </c>
      <c r="E246">
        <v>0.52</v>
      </c>
      <c r="F246">
        <v>0.18</v>
      </c>
      <c r="K246">
        <v>100</v>
      </c>
      <c r="L246">
        <v>168</v>
      </c>
      <c r="M246" t="s">
        <v>297</v>
      </c>
    </row>
    <row r="247" spans="1:16" x14ac:dyDescent="0.4">
      <c r="A247" t="s">
        <v>414</v>
      </c>
      <c r="B247">
        <v>1</v>
      </c>
      <c r="C247">
        <v>0.05</v>
      </c>
      <c r="D247">
        <v>16</v>
      </c>
      <c r="E247">
        <v>0.6</v>
      </c>
      <c r="F247">
        <v>0.2</v>
      </c>
      <c r="K247">
        <v>100</v>
      </c>
      <c r="L247">
        <v>168</v>
      </c>
      <c r="M247" t="s">
        <v>297</v>
      </c>
    </row>
    <row r="248" spans="1:16" x14ac:dyDescent="0.4">
      <c r="A248" t="s">
        <v>415</v>
      </c>
      <c r="B248">
        <v>1</v>
      </c>
      <c r="C248">
        <v>0.04</v>
      </c>
      <c r="D248">
        <v>16</v>
      </c>
      <c r="E248">
        <v>0.52</v>
      </c>
      <c r="F248">
        <v>0.18</v>
      </c>
      <c r="K248">
        <v>100</v>
      </c>
      <c r="L248">
        <v>168</v>
      </c>
      <c r="M248" t="s">
        <v>297</v>
      </c>
    </row>
    <row r="249" spans="1:16" x14ac:dyDescent="0.4">
      <c r="A249" t="s">
        <v>416</v>
      </c>
      <c r="B249">
        <v>1</v>
      </c>
      <c r="C249">
        <v>0.04</v>
      </c>
      <c r="D249">
        <v>16</v>
      </c>
      <c r="E249">
        <v>0.6</v>
      </c>
      <c r="F249">
        <v>0.2</v>
      </c>
      <c r="K249">
        <v>100</v>
      </c>
      <c r="L249">
        <v>168</v>
      </c>
      <c r="M249" t="s">
        <v>297</v>
      </c>
    </row>
    <row r="250" spans="1:16" x14ac:dyDescent="0.4">
      <c r="A250" t="s">
        <v>417</v>
      </c>
      <c r="B250">
        <v>1</v>
      </c>
      <c r="C250">
        <v>0.04</v>
      </c>
      <c r="D250">
        <v>14</v>
      </c>
      <c r="E250">
        <v>0.52</v>
      </c>
      <c r="F250">
        <v>0.18</v>
      </c>
      <c r="K250">
        <v>120</v>
      </c>
      <c r="L250">
        <v>120</v>
      </c>
      <c r="M250" t="s">
        <v>297</v>
      </c>
    </row>
    <row r="251" spans="1:16" x14ac:dyDescent="0.4">
      <c r="A251" t="s">
        <v>418</v>
      </c>
      <c r="B251">
        <v>1</v>
      </c>
      <c r="C251">
        <v>0.04</v>
      </c>
      <c r="D251">
        <v>14</v>
      </c>
      <c r="E251">
        <v>0.52</v>
      </c>
      <c r="F251">
        <v>0.18</v>
      </c>
      <c r="K251">
        <v>120</v>
      </c>
      <c r="L251">
        <v>168</v>
      </c>
      <c r="M251" t="s">
        <v>297</v>
      </c>
    </row>
    <row r="252" spans="1:16" x14ac:dyDescent="0.4">
      <c r="A252" t="s">
        <v>419</v>
      </c>
      <c r="B252">
        <v>8.24</v>
      </c>
      <c r="C252">
        <v>4.12</v>
      </c>
      <c r="D252">
        <v>202.8</v>
      </c>
      <c r="F252">
        <v>6</v>
      </c>
      <c r="K252">
        <v>200</v>
      </c>
      <c r="L252">
        <v>20</v>
      </c>
      <c r="M252" t="s">
        <v>134</v>
      </c>
    </row>
    <row r="253" spans="1:16" x14ac:dyDescent="0.4">
      <c r="A253" t="s">
        <v>420</v>
      </c>
      <c r="B253">
        <v>8.24</v>
      </c>
      <c r="C253">
        <v>4.12</v>
      </c>
      <c r="D253">
        <v>202.8</v>
      </c>
      <c r="F253">
        <v>6</v>
      </c>
      <c r="K253">
        <v>200</v>
      </c>
      <c r="L253">
        <v>26</v>
      </c>
      <c r="M253" t="s">
        <v>134</v>
      </c>
    </row>
    <row r="254" spans="1:16" x14ac:dyDescent="0.4">
      <c r="A254" t="s">
        <v>421</v>
      </c>
      <c r="B254">
        <v>8.24</v>
      </c>
      <c r="C254">
        <v>4.12</v>
      </c>
      <c r="D254">
        <v>202.8</v>
      </c>
      <c r="E254">
        <v>12</v>
      </c>
      <c r="K254">
        <v>225</v>
      </c>
      <c r="L254">
        <v>5</v>
      </c>
      <c r="M254" t="s">
        <v>36</v>
      </c>
      <c r="N254" t="s">
        <v>422</v>
      </c>
      <c r="O254" t="s">
        <v>423</v>
      </c>
      <c r="P254" t="s">
        <v>424</v>
      </c>
    </row>
    <row r="255" spans="1:16" x14ac:dyDescent="0.4">
      <c r="A255" t="s">
        <v>425</v>
      </c>
      <c r="B255">
        <v>8.24</v>
      </c>
      <c r="C255">
        <v>4.12</v>
      </c>
      <c r="D255">
        <v>202.8</v>
      </c>
      <c r="E255">
        <v>12</v>
      </c>
      <c r="K255">
        <v>225</v>
      </c>
      <c r="L255">
        <v>10</v>
      </c>
      <c r="M255" t="s">
        <v>36</v>
      </c>
    </row>
    <row r="256" spans="1:16" x14ac:dyDescent="0.4">
      <c r="A256" t="s">
        <v>426</v>
      </c>
      <c r="B256">
        <v>8.24</v>
      </c>
      <c r="C256">
        <v>4.12</v>
      </c>
      <c r="D256">
        <v>202.8</v>
      </c>
      <c r="E256">
        <v>12</v>
      </c>
      <c r="F256">
        <v>6</v>
      </c>
      <c r="K256">
        <v>225</v>
      </c>
      <c r="L256">
        <v>7</v>
      </c>
      <c r="M256" t="s">
        <v>36</v>
      </c>
    </row>
    <row r="257" spans="1:16" x14ac:dyDescent="0.4">
      <c r="A257" t="s">
        <v>427</v>
      </c>
      <c r="B257">
        <v>8.24</v>
      </c>
      <c r="C257">
        <v>4.12</v>
      </c>
      <c r="D257">
        <v>202.8</v>
      </c>
      <c r="E257">
        <v>12</v>
      </c>
      <c r="F257">
        <v>6</v>
      </c>
      <c r="K257">
        <v>225</v>
      </c>
      <c r="L257">
        <v>12</v>
      </c>
      <c r="M257" t="s">
        <v>36</v>
      </c>
    </row>
    <row r="258" spans="1:16" x14ac:dyDescent="0.4">
      <c r="A258" t="s">
        <v>428</v>
      </c>
      <c r="B258">
        <v>5</v>
      </c>
      <c r="C258">
        <v>1</v>
      </c>
      <c r="D258">
        <v>1005</v>
      </c>
      <c r="E258">
        <v>100</v>
      </c>
      <c r="K258">
        <v>90</v>
      </c>
      <c r="L258">
        <v>15</v>
      </c>
      <c r="M258" t="s">
        <v>20</v>
      </c>
      <c r="N258" t="s">
        <v>429</v>
      </c>
      <c r="O258" t="s">
        <v>430</v>
      </c>
      <c r="P258" t="s">
        <v>431</v>
      </c>
    </row>
    <row r="259" spans="1:16" x14ac:dyDescent="0.4">
      <c r="A259" t="s">
        <v>432</v>
      </c>
      <c r="B259">
        <v>5</v>
      </c>
      <c r="C259">
        <v>1</v>
      </c>
      <c r="D259">
        <v>1005</v>
      </c>
      <c r="E259">
        <v>100</v>
      </c>
      <c r="K259">
        <v>90</v>
      </c>
      <c r="L259">
        <v>20</v>
      </c>
      <c r="M259" t="s">
        <v>20</v>
      </c>
    </row>
    <row r="260" spans="1:16" x14ac:dyDescent="0.4">
      <c r="A260" t="s">
        <v>433</v>
      </c>
      <c r="B260">
        <v>5</v>
      </c>
      <c r="C260">
        <v>1</v>
      </c>
      <c r="D260">
        <v>1005</v>
      </c>
      <c r="E260">
        <v>100</v>
      </c>
      <c r="K260">
        <v>90</v>
      </c>
      <c r="L260">
        <v>24</v>
      </c>
      <c r="M260" t="s">
        <v>20</v>
      </c>
    </row>
    <row r="261" spans="1:16" x14ac:dyDescent="0.4">
      <c r="A261" t="s">
        <v>434</v>
      </c>
      <c r="B261">
        <v>5</v>
      </c>
      <c r="C261">
        <v>1</v>
      </c>
      <c r="D261">
        <v>1005</v>
      </c>
      <c r="E261">
        <v>100</v>
      </c>
      <c r="K261">
        <v>120</v>
      </c>
      <c r="L261">
        <v>8</v>
      </c>
      <c r="M261" t="s">
        <v>20</v>
      </c>
    </row>
    <row r="262" spans="1:16" x14ac:dyDescent="0.4">
      <c r="A262" t="s">
        <v>435</v>
      </c>
      <c r="B262">
        <v>5</v>
      </c>
      <c r="C262">
        <v>1</v>
      </c>
      <c r="D262">
        <v>1005</v>
      </c>
      <c r="E262">
        <v>100</v>
      </c>
      <c r="K262">
        <v>140</v>
      </c>
      <c r="L262">
        <v>3.5</v>
      </c>
      <c r="M262" t="s">
        <v>20</v>
      </c>
    </row>
    <row r="263" spans="1:16" x14ac:dyDescent="0.4">
      <c r="A263" t="s">
        <v>436</v>
      </c>
      <c r="B263">
        <v>5</v>
      </c>
      <c r="C263">
        <v>1</v>
      </c>
      <c r="D263">
        <v>1005</v>
      </c>
      <c r="E263">
        <v>100</v>
      </c>
      <c r="K263">
        <v>140</v>
      </c>
      <c r="L263">
        <v>6</v>
      </c>
      <c r="M263" t="s">
        <v>20</v>
      </c>
    </row>
    <row r="264" spans="1:16" x14ac:dyDescent="0.4">
      <c r="A264" t="s">
        <v>437</v>
      </c>
      <c r="B264">
        <v>100</v>
      </c>
      <c r="C264">
        <v>2</v>
      </c>
      <c r="D264">
        <v>2500</v>
      </c>
      <c r="E264">
        <v>24</v>
      </c>
      <c r="K264">
        <f>453-273</f>
        <v>180</v>
      </c>
      <c r="L264">
        <v>12</v>
      </c>
      <c r="M264" t="s">
        <v>34</v>
      </c>
      <c r="N264" t="s">
        <v>438</v>
      </c>
      <c r="O264" t="s">
        <v>439</v>
      </c>
      <c r="P264" t="s">
        <v>784</v>
      </c>
    </row>
    <row r="265" spans="1:16" x14ac:dyDescent="0.4">
      <c r="A265" t="s">
        <v>440</v>
      </c>
      <c r="B265">
        <v>100</v>
      </c>
      <c r="C265">
        <v>2</v>
      </c>
      <c r="D265">
        <v>2500</v>
      </c>
      <c r="E265">
        <v>24</v>
      </c>
      <c r="K265">
        <f>453-273</f>
        <v>180</v>
      </c>
      <c r="L265">
        <v>24</v>
      </c>
      <c r="M265" t="s">
        <v>34</v>
      </c>
    </row>
    <row r="266" spans="1:16" x14ac:dyDescent="0.4">
      <c r="A266" t="s">
        <v>441</v>
      </c>
      <c r="B266">
        <v>100</v>
      </c>
      <c r="C266">
        <v>2</v>
      </c>
      <c r="D266">
        <v>2500</v>
      </c>
      <c r="E266">
        <v>24</v>
      </c>
      <c r="K266">
        <v>150</v>
      </c>
      <c r="L266">
        <v>24</v>
      </c>
      <c r="M266" t="s">
        <v>34</v>
      </c>
    </row>
    <row r="267" spans="1:16" x14ac:dyDescent="0.4">
      <c r="A267" t="s">
        <v>442</v>
      </c>
      <c r="B267">
        <v>100</v>
      </c>
      <c r="C267">
        <v>2</v>
      </c>
      <c r="D267">
        <v>3000</v>
      </c>
      <c r="E267">
        <v>24</v>
      </c>
      <c r="K267">
        <f>453-273</f>
        <v>180</v>
      </c>
      <c r="L267">
        <v>24</v>
      </c>
      <c r="M267" t="s">
        <v>34</v>
      </c>
    </row>
    <row r="268" spans="1:16" x14ac:dyDescent="0.4">
      <c r="A268" t="s">
        <v>443</v>
      </c>
      <c r="B268">
        <v>100</v>
      </c>
      <c r="C268">
        <v>2</v>
      </c>
      <c r="D268">
        <v>6000</v>
      </c>
      <c r="E268">
        <v>24</v>
      </c>
      <c r="K268">
        <f>453-273</f>
        <v>180</v>
      </c>
      <c r="L268">
        <v>24</v>
      </c>
      <c r="M268" t="s">
        <v>34</v>
      </c>
    </row>
    <row r="269" spans="1:16" x14ac:dyDescent="0.4">
      <c r="A269" t="s">
        <v>444</v>
      </c>
      <c r="B269">
        <v>100</v>
      </c>
      <c r="C269">
        <v>2</v>
      </c>
      <c r="D269">
        <v>2500</v>
      </c>
      <c r="E269">
        <v>28</v>
      </c>
      <c r="K269">
        <v>180</v>
      </c>
      <c r="L269">
        <v>24</v>
      </c>
      <c r="M269" t="s">
        <v>34</v>
      </c>
    </row>
    <row r="270" spans="1:16" x14ac:dyDescent="0.4">
      <c r="A270" t="s">
        <v>445</v>
      </c>
      <c r="B270">
        <v>100</v>
      </c>
      <c r="C270">
        <v>3</v>
      </c>
      <c r="D270">
        <v>2500</v>
      </c>
      <c r="E270">
        <v>24</v>
      </c>
      <c r="K270">
        <v>180</v>
      </c>
      <c r="L270">
        <v>24</v>
      </c>
      <c r="M270" t="s">
        <v>24</v>
      </c>
      <c r="N270" s="1"/>
    </row>
    <row r="271" spans="1:16" x14ac:dyDescent="0.4">
      <c r="A271" t="s">
        <v>446</v>
      </c>
      <c r="B271">
        <v>100</v>
      </c>
      <c r="C271">
        <v>5</v>
      </c>
      <c r="D271">
        <v>2500</v>
      </c>
      <c r="E271">
        <v>24</v>
      </c>
      <c r="K271">
        <v>180</v>
      </c>
      <c r="L271">
        <v>24</v>
      </c>
      <c r="M271" t="s">
        <v>24</v>
      </c>
    </row>
    <row r="272" spans="1:16" x14ac:dyDescent="0.4">
      <c r="A272" t="s">
        <v>447</v>
      </c>
      <c r="B272">
        <v>100</v>
      </c>
      <c r="C272">
        <v>2</v>
      </c>
      <c r="D272">
        <v>2500</v>
      </c>
      <c r="E272">
        <v>24</v>
      </c>
      <c r="K272">
        <v>180</v>
      </c>
      <c r="L272">
        <v>48</v>
      </c>
      <c r="M272" t="s">
        <v>34</v>
      </c>
      <c r="N272" s="6"/>
      <c r="O272" s="6"/>
    </row>
    <row r="273" spans="1:16" x14ac:dyDescent="0.4">
      <c r="A273" t="s">
        <v>448</v>
      </c>
      <c r="B273">
        <v>1</v>
      </c>
      <c r="C273">
        <v>0.6</v>
      </c>
      <c r="D273">
        <v>3</v>
      </c>
      <c r="E273">
        <v>0.6</v>
      </c>
      <c r="K273">
        <v>80</v>
      </c>
      <c r="L273">
        <v>4</v>
      </c>
      <c r="M273" t="s">
        <v>13</v>
      </c>
      <c r="N273" s="6" t="s">
        <v>449</v>
      </c>
      <c r="O273" s="6" t="s">
        <v>450</v>
      </c>
      <c r="P273" t="s">
        <v>451</v>
      </c>
    </row>
    <row r="274" spans="1:16" x14ac:dyDescent="0.4">
      <c r="A274" t="s">
        <v>452</v>
      </c>
      <c r="B274">
        <v>1</v>
      </c>
      <c r="C274">
        <v>0.6</v>
      </c>
      <c r="D274">
        <v>3</v>
      </c>
      <c r="E274">
        <v>0.6</v>
      </c>
      <c r="K274">
        <v>80</v>
      </c>
      <c r="L274">
        <v>6</v>
      </c>
      <c r="M274" t="s">
        <v>13</v>
      </c>
      <c r="N274" s="6"/>
      <c r="O274" s="6"/>
    </row>
    <row r="275" spans="1:16" x14ac:dyDescent="0.4">
      <c r="A275" t="s">
        <v>453</v>
      </c>
      <c r="B275">
        <v>10</v>
      </c>
      <c r="C275">
        <v>1</v>
      </c>
      <c r="D275">
        <v>220</v>
      </c>
      <c r="E275">
        <v>4</v>
      </c>
      <c r="K275">
        <v>150</v>
      </c>
      <c r="L275">
        <v>3</v>
      </c>
      <c r="M275" t="s">
        <v>24</v>
      </c>
      <c r="N275" s="6" t="s">
        <v>454</v>
      </c>
      <c r="O275" s="6" t="s">
        <v>455</v>
      </c>
      <c r="P275" t="s">
        <v>456</v>
      </c>
    </row>
    <row r="276" spans="1:16" x14ac:dyDescent="0.4">
      <c r="A276" t="s">
        <v>457</v>
      </c>
      <c r="B276">
        <v>10</v>
      </c>
      <c r="C276">
        <v>1</v>
      </c>
      <c r="D276">
        <v>220</v>
      </c>
      <c r="E276">
        <v>5</v>
      </c>
      <c r="K276">
        <v>150</v>
      </c>
      <c r="L276">
        <v>3</v>
      </c>
      <c r="M276" t="s">
        <v>22</v>
      </c>
      <c r="N276" s="6"/>
      <c r="O276" s="6"/>
    </row>
    <row r="277" spans="1:16" x14ac:dyDescent="0.4">
      <c r="A277" t="s">
        <v>458</v>
      </c>
      <c r="B277">
        <v>10</v>
      </c>
      <c r="C277">
        <v>1</v>
      </c>
      <c r="D277">
        <v>220</v>
      </c>
      <c r="E277">
        <v>3.03</v>
      </c>
      <c r="K277">
        <v>150</v>
      </c>
      <c r="L277">
        <v>2</v>
      </c>
      <c r="M277" t="s">
        <v>22</v>
      </c>
      <c r="N277" s="6"/>
      <c r="O277" s="6"/>
    </row>
    <row r="278" spans="1:16" x14ac:dyDescent="0.4">
      <c r="A278" t="s">
        <v>459</v>
      </c>
      <c r="B278">
        <v>10</v>
      </c>
      <c r="C278">
        <v>1</v>
      </c>
      <c r="D278">
        <v>220</v>
      </c>
      <c r="E278">
        <v>6.9</v>
      </c>
      <c r="K278">
        <v>150</v>
      </c>
      <c r="L278">
        <v>1</v>
      </c>
      <c r="M278" t="s">
        <v>22</v>
      </c>
      <c r="N278" s="6"/>
      <c r="O278" s="6"/>
    </row>
    <row r="279" spans="1:16" x14ac:dyDescent="0.4">
      <c r="A279" t="s">
        <v>460</v>
      </c>
      <c r="B279">
        <v>1</v>
      </c>
      <c r="C279">
        <v>0.2</v>
      </c>
      <c r="D279">
        <v>220</v>
      </c>
      <c r="E279">
        <v>8</v>
      </c>
      <c r="K279">
        <v>95</v>
      </c>
      <c r="L279">
        <v>5</v>
      </c>
      <c r="M279" t="s">
        <v>18</v>
      </c>
      <c r="N279" s="6" t="s">
        <v>461</v>
      </c>
      <c r="O279" s="6" t="s">
        <v>462</v>
      </c>
      <c r="P279" t="s">
        <v>463</v>
      </c>
    </row>
    <row r="280" spans="1:16" x14ac:dyDescent="0.4">
      <c r="A280" t="s">
        <v>464</v>
      </c>
      <c r="B280">
        <v>30</v>
      </c>
      <c r="C280">
        <v>1</v>
      </c>
      <c r="D280">
        <v>780</v>
      </c>
      <c r="E280">
        <v>12</v>
      </c>
      <c r="K280">
        <v>170</v>
      </c>
      <c r="L280">
        <v>24</v>
      </c>
      <c r="M280" t="s">
        <v>24</v>
      </c>
      <c r="N280" t="s">
        <v>465</v>
      </c>
      <c r="O280" t="s">
        <v>466</v>
      </c>
      <c r="P280" t="s">
        <v>467</v>
      </c>
    </row>
    <row r="281" spans="1:16" x14ac:dyDescent="0.4">
      <c r="A281" t="s">
        <v>468</v>
      </c>
      <c r="B281">
        <v>1</v>
      </c>
      <c r="C281">
        <v>0.2</v>
      </c>
      <c r="D281">
        <v>200</v>
      </c>
      <c r="E281">
        <v>8</v>
      </c>
      <c r="K281">
        <v>90</v>
      </c>
      <c r="L281">
        <v>10</v>
      </c>
      <c r="M281" t="s">
        <v>18</v>
      </c>
      <c r="N281" t="s">
        <v>469</v>
      </c>
      <c r="O281" t="s">
        <v>470</v>
      </c>
      <c r="P281" t="s">
        <v>471</v>
      </c>
    </row>
    <row r="282" spans="1:16" x14ac:dyDescent="0.4">
      <c r="A282" t="s">
        <v>472</v>
      </c>
      <c r="B282">
        <v>60</v>
      </c>
      <c r="C282">
        <v>1</v>
      </c>
      <c r="D282">
        <v>2400</v>
      </c>
      <c r="E282">
        <v>18</v>
      </c>
      <c r="K282">
        <v>160</v>
      </c>
      <c r="L282">
        <v>120</v>
      </c>
      <c r="M282" t="s">
        <v>34</v>
      </c>
      <c r="N282" s="6" t="s">
        <v>473</v>
      </c>
      <c r="O282" s="6" t="s">
        <v>474</v>
      </c>
      <c r="P282" t="s">
        <v>475</v>
      </c>
    </row>
    <row r="283" spans="1:16" x14ac:dyDescent="0.4">
      <c r="A283" t="s">
        <v>502</v>
      </c>
      <c r="B283">
        <v>60</v>
      </c>
      <c r="C283">
        <v>0.66700000000000004</v>
      </c>
      <c r="D283">
        <v>3000</v>
      </c>
      <c r="F283">
        <f>5*2</f>
        <v>10</v>
      </c>
      <c r="K283">
        <v>150</v>
      </c>
      <c r="L283">
        <f>5.1*24</f>
        <v>122.39999999999999</v>
      </c>
      <c r="M283" t="s">
        <v>343</v>
      </c>
      <c r="N283" s="7" t="s">
        <v>785</v>
      </c>
      <c r="O283" s="6" t="s">
        <v>925</v>
      </c>
      <c r="P283" t="s">
        <v>926</v>
      </c>
    </row>
    <row r="284" spans="1:16" x14ac:dyDescent="0.4">
      <c r="A284" t="s">
        <v>503</v>
      </c>
      <c r="B284">
        <v>60</v>
      </c>
      <c r="C284">
        <v>0.66700000000000004</v>
      </c>
      <c r="D284">
        <v>3000</v>
      </c>
      <c r="F284">
        <f t="shared" ref="F284:F285" si="2">5*2</f>
        <v>10</v>
      </c>
      <c r="K284">
        <v>150</v>
      </c>
      <c r="L284">
        <f>6.8*24</f>
        <v>163.19999999999999</v>
      </c>
      <c r="M284" t="s">
        <v>343</v>
      </c>
    </row>
    <row r="285" spans="1:16" x14ac:dyDescent="0.4">
      <c r="A285" t="s">
        <v>504</v>
      </c>
      <c r="B285">
        <v>60</v>
      </c>
      <c r="C285">
        <v>1</v>
      </c>
      <c r="D285">
        <v>3000</v>
      </c>
      <c r="F285">
        <f t="shared" si="2"/>
        <v>10</v>
      </c>
      <c r="K285">
        <v>150</v>
      </c>
      <c r="L285">
        <f>7*24</f>
        <v>168</v>
      </c>
      <c r="M285" t="s">
        <v>343</v>
      </c>
    </row>
    <row r="286" spans="1:16" x14ac:dyDescent="0.4">
      <c r="A286" t="s">
        <v>505</v>
      </c>
      <c r="B286">
        <v>2</v>
      </c>
      <c r="C286">
        <v>1</v>
      </c>
      <c r="D286">
        <v>80</v>
      </c>
      <c r="F286">
        <v>4.2</v>
      </c>
      <c r="K286">
        <v>100</v>
      </c>
      <c r="L286">
        <v>72</v>
      </c>
      <c r="M286" t="s">
        <v>103</v>
      </c>
      <c r="N286" t="s">
        <v>786</v>
      </c>
      <c r="O286" t="s">
        <v>787</v>
      </c>
      <c r="P286" t="s">
        <v>788</v>
      </c>
    </row>
    <row r="287" spans="1:16" x14ac:dyDescent="0.4">
      <c r="A287" t="s">
        <v>506</v>
      </c>
      <c r="B287">
        <v>2</v>
      </c>
      <c r="C287">
        <v>1</v>
      </c>
      <c r="D287">
        <v>31</v>
      </c>
      <c r="E287">
        <v>2.9</v>
      </c>
      <c r="K287">
        <v>200</v>
      </c>
      <c r="L287">
        <v>96</v>
      </c>
      <c r="M287" t="s">
        <v>36</v>
      </c>
      <c r="N287" s="8" t="s">
        <v>789</v>
      </c>
      <c r="O287" t="s">
        <v>790</v>
      </c>
      <c r="P287" t="s">
        <v>791</v>
      </c>
    </row>
    <row r="288" spans="1:16" x14ac:dyDescent="0.4">
      <c r="A288" t="s">
        <v>507</v>
      </c>
      <c r="B288">
        <v>2</v>
      </c>
      <c r="C288">
        <v>1</v>
      </c>
      <c r="D288">
        <v>41.4</v>
      </c>
      <c r="E288">
        <v>3.88</v>
      </c>
      <c r="K288">
        <v>200</v>
      </c>
      <c r="L288">
        <v>96</v>
      </c>
      <c r="M288" t="s">
        <v>36</v>
      </c>
    </row>
    <row r="289" spans="1:16" x14ac:dyDescent="0.4">
      <c r="A289" t="s">
        <v>508</v>
      </c>
      <c r="B289">
        <v>2</v>
      </c>
      <c r="C289">
        <v>1</v>
      </c>
      <c r="D289">
        <v>28</v>
      </c>
      <c r="E289">
        <v>3.88</v>
      </c>
      <c r="K289">
        <v>200</v>
      </c>
      <c r="L289">
        <v>96</v>
      </c>
      <c r="M289" t="s">
        <v>36</v>
      </c>
    </row>
    <row r="290" spans="1:16" x14ac:dyDescent="0.4">
      <c r="A290" t="s">
        <v>509</v>
      </c>
      <c r="B290">
        <v>2</v>
      </c>
      <c r="C290">
        <v>1</v>
      </c>
      <c r="D290">
        <v>31</v>
      </c>
      <c r="E290">
        <v>2.9</v>
      </c>
      <c r="K290">
        <v>200</v>
      </c>
      <c r="L290">
        <v>3</v>
      </c>
      <c r="M290" t="s">
        <v>36</v>
      </c>
    </row>
    <row r="291" spans="1:16" x14ac:dyDescent="0.4">
      <c r="A291" t="s">
        <v>510</v>
      </c>
      <c r="B291">
        <v>2</v>
      </c>
      <c r="C291">
        <v>1</v>
      </c>
      <c r="D291">
        <v>31</v>
      </c>
      <c r="E291">
        <v>2.9</v>
      </c>
      <c r="K291">
        <v>200</v>
      </c>
      <c r="L291">
        <v>48</v>
      </c>
      <c r="M291" t="s">
        <v>36</v>
      </c>
    </row>
    <row r="292" spans="1:16" x14ac:dyDescent="0.4">
      <c r="A292" t="s">
        <v>511</v>
      </c>
      <c r="B292">
        <v>2</v>
      </c>
      <c r="C292">
        <v>1</v>
      </c>
      <c r="D292">
        <v>31</v>
      </c>
      <c r="E292">
        <v>2.9</v>
      </c>
      <c r="K292">
        <v>200</v>
      </c>
      <c r="L292">
        <v>240</v>
      </c>
      <c r="M292" t="s">
        <v>36</v>
      </c>
    </row>
    <row r="293" spans="1:16" x14ac:dyDescent="0.4">
      <c r="A293" t="s">
        <v>512</v>
      </c>
      <c r="B293">
        <v>1.82</v>
      </c>
      <c r="C293">
        <v>1</v>
      </c>
      <c r="D293">
        <v>8</v>
      </c>
      <c r="E293">
        <v>2.8</v>
      </c>
      <c r="F293">
        <v>0.18</v>
      </c>
      <c r="K293">
        <v>140</v>
      </c>
      <c r="L293">
        <v>96</v>
      </c>
      <c r="M293" t="s">
        <v>119</v>
      </c>
      <c r="N293" t="s">
        <v>792</v>
      </c>
      <c r="O293" t="s">
        <v>793</v>
      </c>
      <c r="P293" t="s">
        <v>794</v>
      </c>
    </row>
    <row r="294" spans="1:16" x14ac:dyDescent="0.4">
      <c r="A294" t="s">
        <v>513</v>
      </c>
      <c r="B294">
        <v>8</v>
      </c>
      <c r="C294">
        <v>1</v>
      </c>
      <c r="D294">
        <v>256</v>
      </c>
      <c r="E294">
        <v>3.2</v>
      </c>
      <c r="K294">
        <v>100</v>
      </c>
      <c r="L294">
        <f>47*24</f>
        <v>1128</v>
      </c>
      <c r="M294" t="s">
        <v>581</v>
      </c>
      <c r="N294" s="8" t="s">
        <v>795</v>
      </c>
      <c r="O294" s="21" t="s">
        <v>796</v>
      </c>
      <c r="P294" s="21"/>
    </row>
    <row r="295" spans="1:16" x14ac:dyDescent="0.4">
      <c r="A295" t="s">
        <v>514</v>
      </c>
      <c r="B295">
        <v>4.5999999999999996</v>
      </c>
      <c r="C295">
        <f>2.75/2</f>
        <v>1.375</v>
      </c>
      <c r="D295">
        <v>173</v>
      </c>
      <c r="E295">
        <v>10</v>
      </c>
      <c r="K295">
        <v>100</v>
      </c>
      <c r="L295">
        <f>24*4</f>
        <v>96</v>
      </c>
      <c r="M295" t="s">
        <v>22</v>
      </c>
      <c r="N295" t="s">
        <v>797</v>
      </c>
      <c r="O295" t="s">
        <v>798</v>
      </c>
      <c r="P295" t="s">
        <v>799</v>
      </c>
    </row>
    <row r="296" spans="1:16" x14ac:dyDescent="0.4">
      <c r="A296" t="s">
        <v>515</v>
      </c>
      <c r="B296">
        <v>4.5999999999999996</v>
      </c>
      <c r="C296">
        <f>2.75/2</f>
        <v>1.375</v>
      </c>
      <c r="D296">
        <v>173</v>
      </c>
      <c r="E296">
        <v>10</v>
      </c>
      <c r="K296">
        <v>100</v>
      </c>
      <c r="L296">
        <f>24*7</f>
        <v>168</v>
      </c>
      <c r="M296" t="s">
        <v>22</v>
      </c>
    </row>
    <row r="297" spans="1:16" x14ac:dyDescent="0.4">
      <c r="A297" t="s">
        <v>516</v>
      </c>
      <c r="B297">
        <v>2.63</v>
      </c>
      <c r="C297">
        <f>1.13/2</f>
        <v>0.56499999999999995</v>
      </c>
      <c r="D297">
        <v>173</v>
      </c>
      <c r="E297">
        <v>10</v>
      </c>
      <c r="K297">
        <v>100</v>
      </c>
      <c r="L297">
        <v>24</v>
      </c>
      <c r="M297" t="s">
        <v>18</v>
      </c>
    </row>
    <row r="298" spans="1:16" x14ac:dyDescent="0.4">
      <c r="A298" t="s">
        <v>517</v>
      </c>
      <c r="B298">
        <v>4.5999999999999996</v>
      </c>
      <c r="C298">
        <f>2.75/2</f>
        <v>1.375</v>
      </c>
      <c r="D298">
        <v>173</v>
      </c>
      <c r="E298">
        <v>10</v>
      </c>
      <c r="K298">
        <v>100</v>
      </c>
      <c r="L298">
        <v>168</v>
      </c>
      <c r="M298" t="s">
        <v>22</v>
      </c>
    </row>
    <row r="299" spans="1:16" x14ac:dyDescent="0.4">
      <c r="A299" t="s">
        <v>518</v>
      </c>
      <c r="B299">
        <v>3.7</v>
      </c>
      <c r="C299">
        <f>0.93/2</f>
        <v>0.46500000000000002</v>
      </c>
      <c r="D299">
        <v>173</v>
      </c>
      <c r="E299">
        <v>10</v>
      </c>
      <c r="K299">
        <v>100</v>
      </c>
      <c r="L299">
        <v>168</v>
      </c>
      <c r="M299" t="s">
        <v>22</v>
      </c>
    </row>
    <row r="300" spans="1:16" x14ac:dyDescent="0.4">
      <c r="A300" t="s">
        <v>519</v>
      </c>
      <c r="B300">
        <v>3.7</v>
      </c>
      <c r="C300">
        <f t="shared" ref="C300:C301" si="3">0.93/2</f>
        <v>0.46500000000000002</v>
      </c>
      <c r="D300">
        <v>173</v>
      </c>
      <c r="E300">
        <v>10</v>
      </c>
      <c r="K300">
        <v>100</v>
      </c>
      <c r="L300">
        <v>168</v>
      </c>
      <c r="M300" t="s">
        <v>22</v>
      </c>
    </row>
    <row r="301" spans="1:16" x14ac:dyDescent="0.4">
      <c r="A301" t="s">
        <v>520</v>
      </c>
      <c r="B301">
        <v>3.7</v>
      </c>
      <c r="C301">
        <f t="shared" si="3"/>
        <v>0.46500000000000002</v>
      </c>
      <c r="D301">
        <v>173</v>
      </c>
      <c r="E301">
        <v>10</v>
      </c>
      <c r="K301">
        <v>100</v>
      </c>
      <c r="L301">
        <v>168</v>
      </c>
      <c r="M301" t="s">
        <v>22</v>
      </c>
    </row>
    <row r="302" spans="1:16" x14ac:dyDescent="0.4">
      <c r="A302" t="s">
        <v>521</v>
      </c>
      <c r="B302">
        <v>8.1999999999999993</v>
      </c>
      <c r="C302">
        <f>2.05/2</f>
        <v>1.0249999999999999</v>
      </c>
      <c r="D302">
        <v>173</v>
      </c>
      <c r="E302">
        <v>10</v>
      </c>
      <c r="K302">
        <v>100</v>
      </c>
      <c r="L302">
        <v>24</v>
      </c>
      <c r="M302" t="s">
        <v>18</v>
      </c>
    </row>
    <row r="303" spans="1:16" x14ac:dyDescent="0.4">
      <c r="A303" t="s">
        <v>522</v>
      </c>
      <c r="B303">
        <v>3.7</v>
      </c>
      <c r="C303">
        <f>0.41/2</f>
        <v>0.20499999999999999</v>
      </c>
      <c r="D303">
        <v>173</v>
      </c>
      <c r="E303">
        <v>10</v>
      </c>
      <c r="K303">
        <v>100</v>
      </c>
      <c r="L303">
        <f>24*7</f>
        <v>168</v>
      </c>
      <c r="M303" t="s">
        <v>22</v>
      </c>
    </row>
    <row r="304" spans="1:16" x14ac:dyDescent="0.4">
      <c r="A304" t="s">
        <v>523</v>
      </c>
      <c r="B304">
        <v>12.2</v>
      </c>
      <c r="C304">
        <f>2.9/2</f>
        <v>1.45</v>
      </c>
      <c r="D304">
        <v>173</v>
      </c>
      <c r="E304">
        <v>7.5</v>
      </c>
      <c r="F304">
        <v>2.5</v>
      </c>
      <c r="K304">
        <v>100</v>
      </c>
      <c r="L304">
        <v>168</v>
      </c>
      <c r="M304" t="s">
        <v>581</v>
      </c>
    </row>
    <row r="305" spans="1:16" x14ac:dyDescent="0.4">
      <c r="A305" t="s">
        <v>524</v>
      </c>
      <c r="B305">
        <v>2.4500000000000002</v>
      </c>
      <c r="C305">
        <f>0.5/2</f>
        <v>0.25</v>
      </c>
      <c r="D305">
        <v>173</v>
      </c>
      <c r="E305">
        <v>7.5</v>
      </c>
      <c r="F305">
        <v>2.5</v>
      </c>
      <c r="K305">
        <v>100</v>
      </c>
      <c r="L305">
        <v>168</v>
      </c>
      <c r="M305" t="s">
        <v>26</v>
      </c>
    </row>
    <row r="306" spans="1:16" x14ac:dyDescent="0.4">
      <c r="A306" t="s">
        <v>525</v>
      </c>
      <c r="B306">
        <v>10</v>
      </c>
      <c r="C306">
        <v>1</v>
      </c>
      <c r="D306">
        <v>200</v>
      </c>
      <c r="E306">
        <v>8</v>
      </c>
      <c r="F306">
        <v>2</v>
      </c>
      <c r="K306">
        <v>110</v>
      </c>
      <c r="L306">
        <f>24*3</f>
        <v>72</v>
      </c>
      <c r="M306" t="s">
        <v>581</v>
      </c>
      <c r="N306" s="8" t="s">
        <v>800</v>
      </c>
      <c r="O306" t="s">
        <v>801</v>
      </c>
      <c r="P306" t="s">
        <v>802</v>
      </c>
    </row>
    <row r="307" spans="1:16" x14ac:dyDescent="0.4">
      <c r="A307" t="s">
        <v>526</v>
      </c>
      <c r="B307">
        <v>25</v>
      </c>
      <c r="C307">
        <v>2</v>
      </c>
      <c r="D307">
        <v>350</v>
      </c>
      <c r="E307">
        <v>13</v>
      </c>
      <c r="F307">
        <v>4.5</v>
      </c>
      <c r="K307">
        <v>120</v>
      </c>
      <c r="L307">
        <v>120</v>
      </c>
      <c r="M307" t="s">
        <v>297</v>
      </c>
      <c r="N307" s="9" t="s">
        <v>803</v>
      </c>
      <c r="O307" t="s">
        <v>804</v>
      </c>
      <c r="P307" t="s">
        <v>805</v>
      </c>
    </row>
    <row r="308" spans="1:16" x14ac:dyDescent="0.4">
      <c r="A308" t="s">
        <v>527</v>
      </c>
      <c r="B308">
        <v>10</v>
      </c>
      <c r="C308">
        <v>1</v>
      </c>
      <c r="D308">
        <v>220</v>
      </c>
      <c r="E308">
        <f>4*0.75</f>
        <v>3</v>
      </c>
      <c r="F308">
        <f>4*0.25</f>
        <v>1</v>
      </c>
      <c r="K308">
        <v>150</v>
      </c>
      <c r="L308">
        <f>24*3</f>
        <v>72</v>
      </c>
      <c r="M308" t="s">
        <v>581</v>
      </c>
      <c r="N308" t="s">
        <v>806</v>
      </c>
      <c r="O308" t="s">
        <v>807</v>
      </c>
      <c r="P308" t="s">
        <v>808</v>
      </c>
    </row>
    <row r="309" spans="1:16" x14ac:dyDescent="0.4">
      <c r="A309" t="s">
        <v>528</v>
      </c>
      <c r="B309">
        <v>10</v>
      </c>
      <c r="C309">
        <v>1</v>
      </c>
      <c r="D309">
        <v>220</v>
      </c>
      <c r="E309">
        <f>3.5*0.75</f>
        <v>2.625</v>
      </c>
      <c r="F309">
        <f>0.25*3.5</f>
        <v>0.875</v>
      </c>
      <c r="K309">
        <v>150</v>
      </c>
      <c r="L309">
        <f t="shared" ref="L309:L312" si="4">24*3</f>
        <v>72</v>
      </c>
      <c r="M309" t="s">
        <v>581</v>
      </c>
    </row>
    <row r="310" spans="1:16" x14ac:dyDescent="0.4">
      <c r="A310" t="s">
        <v>529</v>
      </c>
      <c r="B310">
        <v>10</v>
      </c>
      <c r="C310">
        <v>1</v>
      </c>
      <c r="D310">
        <v>220</v>
      </c>
      <c r="E310">
        <f>3*0.75</f>
        <v>2.25</v>
      </c>
      <c r="F310">
        <f>3*0.25</f>
        <v>0.75</v>
      </c>
      <c r="K310">
        <v>150</v>
      </c>
      <c r="L310">
        <f t="shared" si="4"/>
        <v>72</v>
      </c>
      <c r="M310" t="s">
        <v>581</v>
      </c>
    </row>
    <row r="311" spans="1:16" x14ac:dyDescent="0.4">
      <c r="A311" t="s">
        <v>530</v>
      </c>
      <c r="B311">
        <v>10</v>
      </c>
      <c r="C311">
        <v>1</v>
      </c>
      <c r="D311">
        <v>220</v>
      </c>
      <c r="E311">
        <f>6*0.75</f>
        <v>4.5</v>
      </c>
      <c r="F311">
        <f>6*0.25</f>
        <v>1.5</v>
      </c>
      <c r="K311">
        <v>150</v>
      </c>
      <c r="L311">
        <f t="shared" si="4"/>
        <v>72</v>
      </c>
      <c r="M311" t="s">
        <v>581</v>
      </c>
    </row>
    <row r="312" spans="1:16" x14ac:dyDescent="0.4">
      <c r="A312" t="s">
        <v>531</v>
      </c>
      <c r="B312">
        <v>10</v>
      </c>
      <c r="C312">
        <v>1</v>
      </c>
      <c r="D312">
        <v>220</v>
      </c>
      <c r="E312">
        <v>7.5</v>
      </c>
      <c r="F312">
        <v>2.5</v>
      </c>
      <c r="K312">
        <v>150</v>
      </c>
      <c r="L312">
        <f t="shared" si="4"/>
        <v>72</v>
      </c>
      <c r="M312" t="s">
        <v>581</v>
      </c>
    </row>
    <row r="313" spans="1:16" x14ac:dyDescent="0.4">
      <c r="A313" t="s">
        <v>532</v>
      </c>
      <c r="B313">
        <v>2</v>
      </c>
      <c r="C313">
        <v>1.33</v>
      </c>
      <c r="D313">
        <v>133</v>
      </c>
      <c r="E313">
        <f>3.75*2</f>
        <v>7.5</v>
      </c>
      <c r="K313">
        <v>90</v>
      </c>
      <c r="L313">
        <f>150/60</f>
        <v>2.5</v>
      </c>
      <c r="M313" t="s">
        <v>13</v>
      </c>
      <c r="N313" s="10" t="s">
        <v>809</v>
      </c>
      <c r="O313" t="s">
        <v>810</v>
      </c>
      <c r="P313" t="s">
        <v>811</v>
      </c>
    </row>
    <row r="314" spans="1:16" x14ac:dyDescent="0.4">
      <c r="A314" t="s">
        <v>533</v>
      </c>
      <c r="B314">
        <v>2</v>
      </c>
      <c r="C314">
        <v>1.33</v>
      </c>
      <c r="D314">
        <v>133</v>
      </c>
      <c r="E314">
        <f>7.5</f>
        <v>7.5</v>
      </c>
      <c r="K314">
        <v>90</v>
      </c>
      <c r="L314">
        <f>270/60</f>
        <v>4.5</v>
      </c>
      <c r="M314" t="s">
        <v>13</v>
      </c>
    </row>
    <row r="315" spans="1:16" x14ac:dyDescent="0.4">
      <c r="A315" t="s">
        <v>534</v>
      </c>
      <c r="B315">
        <v>2</v>
      </c>
      <c r="C315">
        <v>1.1100000000000001</v>
      </c>
      <c r="D315">
        <v>133</v>
      </c>
      <c r="E315">
        <v>8.1999999999999993</v>
      </c>
      <c r="K315">
        <v>90</v>
      </c>
      <c r="L315">
        <f>150/60</f>
        <v>2.5</v>
      </c>
      <c r="M315" t="s">
        <v>13</v>
      </c>
    </row>
    <row r="316" spans="1:16" x14ac:dyDescent="0.4">
      <c r="A316" t="s">
        <v>535</v>
      </c>
      <c r="B316">
        <v>2</v>
      </c>
      <c r="C316">
        <v>1.1100000000000001</v>
      </c>
      <c r="D316">
        <v>122</v>
      </c>
      <c r="E316">
        <v>8.1999999999999993</v>
      </c>
      <c r="K316">
        <v>90</v>
      </c>
      <c r="L316">
        <f>270/60</f>
        <v>4.5</v>
      </c>
      <c r="M316" t="s">
        <v>13</v>
      </c>
    </row>
    <row r="317" spans="1:16" x14ac:dyDescent="0.4">
      <c r="A317" t="s">
        <v>536</v>
      </c>
      <c r="B317">
        <v>2</v>
      </c>
      <c r="C317">
        <v>1.05</v>
      </c>
      <c r="D317">
        <v>95</v>
      </c>
      <c r="E317">
        <v>8.1999999999999993</v>
      </c>
      <c r="K317">
        <v>90</v>
      </c>
      <c r="L317">
        <f>270/60</f>
        <v>4.5</v>
      </c>
      <c r="M317" t="s">
        <v>13</v>
      </c>
    </row>
    <row r="318" spans="1:16" x14ac:dyDescent="0.4">
      <c r="A318" t="s">
        <v>537</v>
      </c>
      <c r="B318">
        <v>10</v>
      </c>
      <c r="C318">
        <v>1</v>
      </c>
      <c r="D318">
        <v>100</v>
      </c>
      <c r="E318">
        <f>2.97*2</f>
        <v>5.94</v>
      </c>
      <c r="G318">
        <f>0.33*2</f>
        <v>0.66</v>
      </c>
      <c r="K318">
        <v>100</v>
      </c>
      <c r="L318">
        <v>24</v>
      </c>
      <c r="M318" t="s">
        <v>582</v>
      </c>
      <c r="N318" s="11"/>
    </row>
    <row r="319" spans="1:16" x14ac:dyDescent="0.4">
      <c r="A319" t="s">
        <v>538</v>
      </c>
      <c r="B319">
        <v>10</v>
      </c>
      <c r="C319">
        <v>1</v>
      </c>
      <c r="D319">
        <v>100</v>
      </c>
      <c r="E319">
        <v>5.94</v>
      </c>
      <c r="G319">
        <v>0.66</v>
      </c>
      <c r="K319">
        <v>100</v>
      </c>
      <c r="L319">
        <f>24*4</f>
        <v>96</v>
      </c>
      <c r="M319" t="s">
        <v>582</v>
      </c>
      <c r="N319" t="s">
        <v>812</v>
      </c>
      <c r="O319" t="s">
        <v>813</v>
      </c>
      <c r="P319" t="s">
        <v>814</v>
      </c>
    </row>
    <row r="320" spans="1:16" x14ac:dyDescent="0.4">
      <c r="A320" t="s">
        <v>539</v>
      </c>
      <c r="B320">
        <v>10</v>
      </c>
      <c r="C320">
        <v>1</v>
      </c>
      <c r="D320">
        <v>100</v>
      </c>
      <c r="E320">
        <v>5.94</v>
      </c>
      <c r="G320">
        <v>0.66</v>
      </c>
      <c r="K320">
        <v>100</v>
      </c>
      <c r="L320">
        <f>24*3</f>
        <v>72</v>
      </c>
      <c r="M320" t="s">
        <v>582</v>
      </c>
    </row>
    <row r="321" spans="1:16" x14ac:dyDescent="0.4">
      <c r="A321" t="s">
        <v>540</v>
      </c>
      <c r="B321">
        <v>10</v>
      </c>
      <c r="C321">
        <v>1</v>
      </c>
      <c r="D321">
        <v>111</v>
      </c>
      <c r="E321">
        <f>3.003*2</f>
        <v>6.0060000000000002</v>
      </c>
      <c r="G321">
        <f>0.297*2</f>
        <v>0.59399999999999997</v>
      </c>
      <c r="K321">
        <v>90</v>
      </c>
      <c r="L321">
        <f>12*24</f>
        <v>288</v>
      </c>
      <c r="M321" t="s">
        <v>582</v>
      </c>
    </row>
    <row r="322" spans="1:16" x14ac:dyDescent="0.4">
      <c r="A322" t="s">
        <v>541</v>
      </c>
      <c r="B322">
        <v>10</v>
      </c>
      <c r="C322">
        <v>1</v>
      </c>
      <c r="D322">
        <v>112</v>
      </c>
      <c r="E322">
        <v>6.0060000000000002</v>
      </c>
      <c r="G322">
        <v>0.59399999999999997</v>
      </c>
      <c r="K322">
        <v>90</v>
      </c>
      <c r="L322">
        <f>3*24</f>
        <v>72</v>
      </c>
      <c r="M322" t="s">
        <v>582</v>
      </c>
    </row>
    <row r="323" spans="1:16" x14ac:dyDescent="0.4">
      <c r="A323" t="s">
        <v>542</v>
      </c>
      <c r="B323">
        <v>10</v>
      </c>
      <c r="C323">
        <v>1</v>
      </c>
      <c r="D323">
        <v>78</v>
      </c>
      <c r="E323">
        <f>2.992*2</f>
        <v>5.984</v>
      </c>
      <c r="G323">
        <f>0.408*2</f>
        <v>0.81599999999999995</v>
      </c>
      <c r="K323">
        <v>70</v>
      </c>
      <c r="L323">
        <f>14*24</f>
        <v>336</v>
      </c>
      <c r="M323" t="s">
        <v>582</v>
      </c>
    </row>
    <row r="324" spans="1:16" x14ac:dyDescent="0.4">
      <c r="A324" t="s">
        <v>543</v>
      </c>
      <c r="B324">
        <v>10</v>
      </c>
      <c r="C324">
        <v>1</v>
      </c>
      <c r="D324">
        <v>78</v>
      </c>
      <c r="E324">
        <f>2.992*2</f>
        <v>5.984</v>
      </c>
      <c r="G324">
        <f>0.408*2</f>
        <v>0.81599999999999995</v>
      </c>
      <c r="K324">
        <v>60</v>
      </c>
      <c r="L324">
        <f>28*24</f>
        <v>672</v>
      </c>
      <c r="M324" t="s">
        <v>582</v>
      </c>
    </row>
    <row r="325" spans="1:16" x14ac:dyDescent="0.4">
      <c r="A325" t="s">
        <v>544</v>
      </c>
      <c r="B325">
        <v>10</v>
      </c>
      <c r="C325">
        <v>1</v>
      </c>
      <c r="D325">
        <v>78</v>
      </c>
      <c r="E325">
        <f>3.5*0.86*2</f>
        <v>6.02</v>
      </c>
      <c r="G325">
        <f>3.5*0.14*2</f>
        <v>0.98000000000000009</v>
      </c>
      <c r="K325">
        <v>80</v>
      </c>
      <c r="L325">
        <f>8*24</f>
        <v>192</v>
      </c>
      <c r="M325" t="s">
        <v>582</v>
      </c>
    </row>
    <row r="326" spans="1:16" x14ac:dyDescent="0.4">
      <c r="A326" t="s">
        <v>545</v>
      </c>
      <c r="B326">
        <v>10</v>
      </c>
      <c r="C326">
        <v>1</v>
      </c>
      <c r="D326">
        <v>78</v>
      </c>
      <c r="E326">
        <f>3.5*0.86*2</f>
        <v>6.02</v>
      </c>
      <c r="G326">
        <f t="shared" ref="G326" si="5">3.5*0.14*2</f>
        <v>0.98000000000000009</v>
      </c>
      <c r="K326">
        <v>50</v>
      </c>
      <c r="L326">
        <v>1344</v>
      </c>
      <c r="M326" t="s">
        <v>582</v>
      </c>
    </row>
    <row r="327" spans="1:16" x14ac:dyDescent="0.4">
      <c r="A327" t="s">
        <v>546</v>
      </c>
      <c r="B327">
        <v>6</v>
      </c>
      <c r="C327">
        <v>1</v>
      </c>
      <c r="D327">
        <v>45</v>
      </c>
      <c r="F327">
        <f>1.458*2</f>
        <v>2.9159999999999999</v>
      </c>
      <c r="G327">
        <f>0.162*2</f>
        <v>0.32400000000000001</v>
      </c>
      <c r="K327">
        <v>100</v>
      </c>
      <c r="L327">
        <f>8*24</f>
        <v>192</v>
      </c>
      <c r="M327" t="s">
        <v>583</v>
      </c>
      <c r="N327" t="s">
        <v>815</v>
      </c>
      <c r="O327" t="s">
        <v>816</v>
      </c>
      <c r="P327" t="s">
        <v>817</v>
      </c>
    </row>
    <row r="328" spans="1:16" x14ac:dyDescent="0.4">
      <c r="A328" t="s">
        <v>547</v>
      </c>
      <c r="B328">
        <v>8</v>
      </c>
      <c r="C328">
        <v>1</v>
      </c>
      <c r="D328">
        <v>64</v>
      </c>
      <c r="F328">
        <f>1.92*2</f>
        <v>3.84</v>
      </c>
      <c r="G328">
        <f>0.48*2</f>
        <v>0.96</v>
      </c>
      <c r="K328">
        <v>100</v>
      </c>
      <c r="L328">
        <f>4*24</f>
        <v>96</v>
      </c>
      <c r="M328" t="s">
        <v>583</v>
      </c>
    </row>
    <row r="329" spans="1:16" x14ac:dyDescent="0.4">
      <c r="A329" t="s">
        <v>548</v>
      </c>
      <c r="B329">
        <v>6</v>
      </c>
      <c r="C329">
        <v>1</v>
      </c>
      <c r="D329">
        <v>45</v>
      </c>
      <c r="F329">
        <f>1.44*2</f>
        <v>2.88</v>
      </c>
      <c r="G329">
        <f>0.36*2</f>
        <v>0.72</v>
      </c>
      <c r="K329">
        <v>100</v>
      </c>
      <c r="L329">
        <f>2*24</f>
        <v>48</v>
      </c>
      <c r="M329" t="s">
        <v>583</v>
      </c>
    </row>
    <row r="330" spans="1:16" x14ac:dyDescent="0.4">
      <c r="A330" t="s">
        <v>549</v>
      </c>
      <c r="B330">
        <v>10</v>
      </c>
      <c r="C330">
        <v>1</v>
      </c>
      <c r="D330">
        <v>80</v>
      </c>
      <c r="F330">
        <f>2.4*2</f>
        <v>4.8</v>
      </c>
      <c r="G330">
        <f>0.6*2</f>
        <v>1.2</v>
      </c>
      <c r="K330">
        <v>100</v>
      </c>
      <c r="L330">
        <f>6*24</f>
        <v>144</v>
      </c>
      <c r="M330" t="s">
        <v>583</v>
      </c>
    </row>
    <row r="331" spans="1:16" x14ac:dyDescent="0.4">
      <c r="A331" t="s">
        <v>550</v>
      </c>
      <c r="B331">
        <v>1</v>
      </c>
      <c r="C331">
        <v>0.1</v>
      </c>
      <c r="D331">
        <v>8</v>
      </c>
      <c r="E331">
        <f>0.6</f>
        <v>0.6</v>
      </c>
      <c r="G331">
        <v>0.08</v>
      </c>
      <c r="K331">
        <v>100</v>
      </c>
      <c r="L331">
        <f>24*3</f>
        <v>72</v>
      </c>
      <c r="M331" t="s">
        <v>582</v>
      </c>
      <c r="N331" s="8" t="s">
        <v>818</v>
      </c>
      <c r="O331" s="21" t="s">
        <v>819</v>
      </c>
      <c r="P331" s="21" t="s">
        <v>820</v>
      </c>
    </row>
    <row r="332" spans="1:16" x14ac:dyDescent="0.4">
      <c r="A332" t="s">
        <v>551</v>
      </c>
      <c r="B332">
        <v>1</v>
      </c>
      <c r="C332">
        <v>0.16700000000000001</v>
      </c>
      <c r="D332">
        <v>7.5</v>
      </c>
      <c r="F332">
        <v>0.48</v>
      </c>
      <c r="G332">
        <v>0.08</v>
      </c>
      <c r="K332">
        <f>100</f>
        <v>100</v>
      </c>
      <c r="L332">
        <f>4.5*24</f>
        <v>108</v>
      </c>
      <c r="M332" t="s">
        <v>583</v>
      </c>
    </row>
    <row r="333" spans="1:16" x14ac:dyDescent="0.4">
      <c r="A333" t="s">
        <v>552</v>
      </c>
      <c r="B333">
        <v>10</v>
      </c>
      <c r="C333">
        <v>1</v>
      </c>
      <c r="D333">
        <v>100</v>
      </c>
      <c r="E333">
        <v>3.6</v>
      </c>
      <c r="G333">
        <v>0.6</v>
      </c>
      <c r="K333">
        <v>80</v>
      </c>
      <c r="L333">
        <f>240</f>
        <v>240</v>
      </c>
      <c r="M333" t="s">
        <v>582</v>
      </c>
      <c r="N333" s="8" t="s">
        <v>821</v>
      </c>
      <c r="O333" t="s">
        <v>822</v>
      </c>
      <c r="P333" t="s">
        <v>823</v>
      </c>
    </row>
    <row r="334" spans="1:16" x14ac:dyDescent="0.4">
      <c r="A334" t="s">
        <v>553</v>
      </c>
      <c r="B334">
        <v>11.19</v>
      </c>
      <c r="C334">
        <v>1</v>
      </c>
      <c r="D334">
        <v>294</v>
      </c>
      <c r="E334">
        <f>1.38*2</f>
        <v>2.76</v>
      </c>
      <c r="F334">
        <f>1.38*2</f>
        <v>2.76</v>
      </c>
      <c r="K334">
        <f>453-273</f>
        <v>180</v>
      </c>
      <c r="L334">
        <v>144</v>
      </c>
      <c r="M334" t="s">
        <v>584</v>
      </c>
      <c r="N334" s="8" t="s">
        <v>824</v>
      </c>
      <c r="O334" t="s">
        <v>825</v>
      </c>
      <c r="P334" t="s">
        <v>826</v>
      </c>
    </row>
    <row r="335" spans="1:16" x14ac:dyDescent="0.4">
      <c r="A335" t="s">
        <v>554</v>
      </c>
      <c r="B335">
        <v>1</v>
      </c>
      <c r="C335">
        <v>0.33</v>
      </c>
      <c r="D335">
        <v>80</v>
      </c>
      <c r="E335">
        <v>3</v>
      </c>
      <c r="K335">
        <f>355-273</f>
        <v>82</v>
      </c>
      <c r="L335">
        <v>6</v>
      </c>
      <c r="M335" t="s">
        <v>18</v>
      </c>
      <c r="N335" s="8" t="s">
        <v>827</v>
      </c>
      <c r="O335" t="s">
        <v>828</v>
      </c>
      <c r="P335" t="s">
        <v>829</v>
      </c>
    </row>
    <row r="336" spans="1:16" x14ac:dyDescent="0.4">
      <c r="A336" t="s">
        <v>555</v>
      </c>
      <c r="B336">
        <v>11</v>
      </c>
      <c r="C336">
        <v>1</v>
      </c>
      <c r="D336">
        <f>5.5*25</f>
        <v>137.5</v>
      </c>
      <c r="E336">
        <v>0.3</v>
      </c>
      <c r="K336">
        <v>150</v>
      </c>
      <c r="L336">
        <v>144</v>
      </c>
      <c r="M336" t="s">
        <v>24</v>
      </c>
    </row>
    <row r="337" spans="1:16" x14ac:dyDescent="0.4">
      <c r="A337" t="s">
        <v>556</v>
      </c>
      <c r="B337">
        <v>12</v>
      </c>
      <c r="C337">
        <v>1</v>
      </c>
      <c r="D337">
        <f>6*25</f>
        <v>150</v>
      </c>
      <c r="E337">
        <v>1.2</v>
      </c>
      <c r="F337">
        <v>1.2</v>
      </c>
      <c r="K337">
        <v>150</v>
      </c>
      <c r="L337">
        <v>144</v>
      </c>
      <c r="M337" t="s">
        <v>581</v>
      </c>
      <c r="N337" s="8" t="s">
        <v>830</v>
      </c>
      <c r="O337" t="s">
        <v>927</v>
      </c>
      <c r="P337" t="s">
        <v>928</v>
      </c>
    </row>
    <row r="338" spans="1:16" x14ac:dyDescent="0.4">
      <c r="A338" t="s">
        <v>557</v>
      </c>
      <c r="B338">
        <v>12</v>
      </c>
      <c r="C338">
        <v>1</v>
      </c>
      <c r="D338">
        <v>150</v>
      </c>
      <c r="E338">
        <v>1.26</v>
      </c>
      <c r="F338">
        <v>1.26</v>
      </c>
      <c r="K338">
        <v>150</v>
      </c>
      <c r="L338">
        <v>144</v>
      </c>
      <c r="M338" t="s">
        <v>581</v>
      </c>
    </row>
    <row r="339" spans="1:16" x14ac:dyDescent="0.4">
      <c r="A339" t="s">
        <v>558</v>
      </c>
      <c r="B339">
        <v>11</v>
      </c>
      <c r="C339">
        <v>1</v>
      </c>
      <c r="D339">
        <f>5.5*25</f>
        <v>137.5</v>
      </c>
      <c r="E339">
        <v>0.82499999999999996</v>
      </c>
      <c r="F339">
        <v>0.82499999999999996</v>
      </c>
      <c r="K339">
        <v>150</v>
      </c>
      <c r="L339">
        <v>144</v>
      </c>
      <c r="M339" t="s">
        <v>584</v>
      </c>
    </row>
    <row r="340" spans="1:16" x14ac:dyDescent="0.4">
      <c r="A340" t="s">
        <v>559</v>
      </c>
      <c r="B340">
        <v>13</v>
      </c>
      <c r="C340">
        <v>1</v>
      </c>
      <c r="D340">
        <v>218</v>
      </c>
      <c r="E340">
        <f>2.7*2</f>
        <v>5.4</v>
      </c>
      <c r="K340">
        <f>483-273</f>
        <v>210</v>
      </c>
      <c r="L340">
        <v>18</v>
      </c>
      <c r="M340" t="s">
        <v>24</v>
      </c>
      <c r="N340" s="8" t="s">
        <v>831</v>
      </c>
      <c r="O340" t="s">
        <v>832</v>
      </c>
      <c r="P340" t="s">
        <v>833</v>
      </c>
    </row>
    <row r="341" spans="1:16" x14ac:dyDescent="0.4">
      <c r="A341" t="s">
        <v>560</v>
      </c>
      <c r="B341">
        <v>18</v>
      </c>
      <c r="C341">
        <v>1</v>
      </c>
      <c r="D341">
        <v>216</v>
      </c>
      <c r="E341">
        <f>2.7*2</f>
        <v>5.4</v>
      </c>
      <c r="K341">
        <f t="shared" ref="K341:K351" si="6">483-273</f>
        <v>210</v>
      </c>
      <c r="L341">
        <v>18</v>
      </c>
      <c r="M341" t="s">
        <v>24</v>
      </c>
    </row>
    <row r="342" spans="1:16" x14ac:dyDescent="0.4">
      <c r="A342" t="s">
        <v>561</v>
      </c>
      <c r="B342">
        <v>20</v>
      </c>
      <c r="C342">
        <v>1</v>
      </c>
      <c r="D342">
        <v>176</v>
      </c>
      <c r="E342">
        <f>2.2*2</f>
        <v>4.4000000000000004</v>
      </c>
      <c r="K342">
        <f t="shared" si="6"/>
        <v>210</v>
      </c>
      <c r="L342">
        <v>18</v>
      </c>
      <c r="M342" t="s">
        <v>24</v>
      </c>
    </row>
    <row r="343" spans="1:16" x14ac:dyDescent="0.4">
      <c r="A343" t="s">
        <v>562</v>
      </c>
      <c r="B343">
        <v>20</v>
      </c>
      <c r="C343">
        <v>1</v>
      </c>
      <c r="D343">
        <v>240</v>
      </c>
      <c r="E343">
        <f>3*2</f>
        <v>6</v>
      </c>
      <c r="K343">
        <f t="shared" si="6"/>
        <v>210</v>
      </c>
      <c r="L343">
        <v>18</v>
      </c>
      <c r="M343" t="s">
        <v>24</v>
      </c>
    </row>
    <row r="344" spans="1:16" x14ac:dyDescent="0.4">
      <c r="A344" t="s">
        <v>563</v>
      </c>
      <c r="B344">
        <v>20</v>
      </c>
      <c r="C344">
        <v>1</v>
      </c>
      <c r="D344">
        <v>288</v>
      </c>
      <c r="E344">
        <f>3.6*2</f>
        <v>7.2</v>
      </c>
      <c r="K344">
        <f t="shared" si="6"/>
        <v>210</v>
      </c>
      <c r="L344">
        <v>18</v>
      </c>
      <c r="M344" t="s">
        <v>24</v>
      </c>
    </row>
    <row r="345" spans="1:16" x14ac:dyDescent="0.4">
      <c r="A345" t="s">
        <v>564</v>
      </c>
      <c r="B345">
        <v>24</v>
      </c>
      <c r="C345">
        <v>1</v>
      </c>
      <c r="D345">
        <v>345</v>
      </c>
      <c r="E345">
        <f>4.2*2</f>
        <v>8.4</v>
      </c>
      <c r="K345">
        <f t="shared" si="6"/>
        <v>210</v>
      </c>
      <c r="L345">
        <v>18</v>
      </c>
      <c r="M345" t="s">
        <v>24</v>
      </c>
    </row>
    <row r="346" spans="1:16" x14ac:dyDescent="0.4">
      <c r="A346" t="s">
        <v>565</v>
      </c>
      <c r="B346">
        <v>28</v>
      </c>
      <c r="C346">
        <v>1</v>
      </c>
      <c r="D346">
        <v>403</v>
      </c>
      <c r="E346">
        <f>5*2</f>
        <v>10</v>
      </c>
      <c r="K346">
        <f t="shared" si="6"/>
        <v>210</v>
      </c>
      <c r="L346">
        <v>18</v>
      </c>
      <c r="M346" t="s">
        <v>24</v>
      </c>
    </row>
    <row r="347" spans="1:16" x14ac:dyDescent="0.4">
      <c r="A347" t="s">
        <v>566</v>
      </c>
      <c r="B347">
        <v>28</v>
      </c>
      <c r="C347">
        <v>1</v>
      </c>
      <c r="D347">
        <v>470</v>
      </c>
      <c r="E347">
        <f>5.9*2</f>
        <v>11.8</v>
      </c>
      <c r="K347">
        <f t="shared" si="6"/>
        <v>210</v>
      </c>
      <c r="L347">
        <v>15</v>
      </c>
      <c r="M347" t="s">
        <v>24</v>
      </c>
    </row>
    <row r="348" spans="1:16" x14ac:dyDescent="0.4">
      <c r="A348" t="s">
        <v>567</v>
      </c>
      <c r="B348">
        <v>18.5</v>
      </c>
      <c r="C348">
        <v>1</v>
      </c>
      <c r="D348">
        <v>555</v>
      </c>
      <c r="E348">
        <f>3.3*2</f>
        <v>6.6</v>
      </c>
      <c r="K348">
        <f t="shared" si="6"/>
        <v>210</v>
      </c>
      <c r="L348">
        <v>15</v>
      </c>
      <c r="M348" t="s">
        <v>24</v>
      </c>
    </row>
    <row r="349" spans="1:16" x14ac:dyDescent="0.4">
      <c r="A349" t="s">
        <v>568</v>
      </c>
      <c r="B349">
        <v>19</v>
      </c>
      <c r="C349">
        <v>1</v>
      </c>
      <c r="D349">
        <v>573</v>
      </c>
      <c r="E349">
        <f>3.4*2</f>
        <v>6.8</v>
      </c>
      <c r="K349">
        <f t="shared" si="6"/>
        <v>210</v>
      </c>
      <c r="L349">
        <v>15</v>
      </c>
      <c r="M349" t="s">
        <v>24</v>
      </c>
    </row>
    <row r="350" spans="1:16" x14ac:dyDescent="0.4">
      <c r="A350" t="s">
        <v>569</v>
      </c>
      <c r="B350">
        <v>20</v>
      </c>
      <c r="C350">
        <v>1</v>
      </c>
      <c r="D350">
        <v>595</v>
      </c>
      <c r="E350">
        <f>3*2</f>
        <v>6</v>
      </c>
      <c r="K350">
        <f t="shared" si="6"/>
        <v>210</v>
      </c>
      <c r="L350">
        <v>15</v>
      </c>
      <c r="M350" t="s">
        <v>24</v>
      </c>
    </row>
    <row r="351" spans="1:16" x14ac:dyDescent="0.4">
      <c r="A351" t="s">
        <v>570</v>
      </c>
      <c r="B351">
        <v>24</v>
      </c>
      <c r="C351">
        <v>1</v>
      </c>
      <c r="D351">
        <v>736</v>
      </c>
      <c r="E351">
        <f>4.3*2</f>
        <v>8.6</v>
      </c>
      <c r="K351">
        <f t="shared" si="6"/>
        <v>210</v>
      </c>
      <c r="L351">
        <v>15</v>
      </c>
      <c r="M351" t="s">
        <v>24</v>
      </c>
    </row>
    <row r="352" spans="1:16" x14ac:dyDescent="0.4">
      <c r="A352" t="s">
        <v>571</v>
      </c>
      <c r="B352">
        <v>60</v>
      </c>
      <c r="C352">
        <v>1</v>
      </c>
      <c r="D352">
        <v>3000</v>
      </c>
      <c r="E352">
        <v>12</v>
      </c>
      <c r="K352">
        <v>190</v>
      </c>
      <c r="L352">
        <f>7*24</f>
        <v>168</v>
      </c>
      <c r="M352" t="s">
        <v>34</v>
      </c>
      <c r="N352" s="12" t="s">
        <v>834</v>
      </c>
      <c r="O352" s="21" t="s">
        <v>835</v>
      </c>
      <c r="P352" s="21" t="s">
        <v>836</v>
      </c>
    </row>
    <row r="353" spans="1:16" x14ac:dyDescent="0.4">
      <c r="A353" t="s">
        <v>572</v>
      </c>
      <c r="B353">
        <v>80</v>
      </c>
      <c r="C353">
        <v>1</v>
      </c>
      <c r="D353">
        <v>3000</v>
      </c>
      <c r="E353">
        <v>12</v>
      </c>
      <c r="K353">
        <v>190</v>
      </c>
      <c r="L353">
        <f>7*24</f>
        <v>168</v>
      </c>
      <c r="M353" t="s">
        <v>34</v>
      </c>
    </row>
    <row r="354" spans="1:16" x14ac:dyDescent="0.4">
      <c r="A354" t="s">
        <v>573</v>
      </c>
      <c r="B354">
        <v>40</v>
      </c>
      <c r="C354">
        <v>1</v>
      </c>
      <c r="D354">
        <v>3000</v>
      </c>
      <c r="E354">
        <v>24</v>
      </c>
      <c r="K354">
        <v>190</v>
      </c>
      <c r="L354">
        <v>168</v>
      </c>
      <c r="M354" t="s">
        <v>24</v>
      </c>
    </row>
    <row r="355" spans="1:16" x14ac:dyDescent="0.4">
      <c r="A355" t="s">
        <v>574</v>
      </c>
      <c r="B355">
        <v>40</v>
      </c>
      <c r="C355">
        <v>1</v>
      </c>
      <c r="D355">
        <v>3000</v>
      </c>
      <c r="E355">
        <v>18</v>
      </c>
      <c r="K355">
        <v>190</v>
      </c>
      <c r="L355">
        <v>168</v>
      </c>
      <c r="M355" t="s">
        <v>24</v>
      </c>
    </row>
    <row r="356" spans="1:16" x14ac:dyDescent="0.4">
      <c r="A356" t="s">
        <v>575</v>
      </c>
      <c r="B356">
        <v>1.7</v>
      </c>
      <c r="C356">
        <v>1</v>
      </c>
      <c r="D356">
        <v>150</v>
      </c>
      <c r="E356">
        <v>5</v>
      </c>
      <c r="K356">
        <v>80</v>
      </c>
      <c r="L356">
        <v>24</v>
      </c>
      <c r="M356" t="s">
        <v>13</v>
      </c>
      <c r="N356" s="13" t="s">
        <v>837</v>
      </c>
      <c r="O356" s="21" t="s">
        <v>838</v>
      </c>
      <c r="P356" s="21" t="s">
        <v>839</v>
      </c>
    </row>
    <row r="357" spans="1:16" x14ac:dyDescent="0.4">
      <c r="A357" t="s">
        <v>577</v>
      </c>
      <c r="B357">
        <v>4.8</v>
      </c>
      <c r="C357">
        <v>1</v>
      </c>
      <c r="D357">
        <v>975</v>
      </c>
      <c r="E357">
        <v>17</v>
      </c>
      <c r="K357">
        <v>90</v>
      </c>
      <c r="L357">
        <v>24</v>
      </c>
      <c r="M357" t="s">
        <v>18</v>
      </c>
      <c r="N357" s="8" t="s">
        <v>840</v>
      </c>
      <c r="O357" s="21" t="s">
        <v>841</v>
      </c>
      <c r="P357" s="21" t="s">
        <v>842</v>
      </c>
    </row>
    <row r="358" spans="1:16" x14ac:dyDescent="0.4">
      <c r="A358" t="s">
        <v>578</v>
      </c>
      <c r="B358">
        <v>4.8</v>
      </c>
      <c r="C358">
        <v>1</v>
      </c>
      <c r="D358">
        <v>975</v>
      </c>
      <c r="E358">
        <v>18</v>
      </c>
      <c r="K358">
        <v>90</v>
      </c>
      <c r="L358">
        <v>24</v>
      </c>
      <c r="M358" t="s">
        <v>18</v>
      </c>
    </row>
    <row r="359" spans="1:16" x14ac:dyDescent="0.4">
      <c r="A359" t="s">
        <v>579</v>
      </c>
      <c r="B359">
        <v>4.8</v>
      </c>
      <c r="C359">
        <v>1</v>
      </c>
      <c r="D359">
        <v>975</v>
      </c>
      <c r="E359">
        <v>19</v>
      </c>
      <c r="K359">
        <v>90</v>
      </c>
      <c r="L359">
        <v>24</v>
      </c>
      <c r="M359" t="s">
        <v>18</v>
      </c>
    </row>
    <row r="360" spans="1:16" x14ac:dyDescent="0.4">
      <c r="A360" t="s">
        <v>580</v>
      </c>
      <c r="B360">
        <v>11.19</v>
      </c>
      <c r="C360">
        <v>1</v>
      </c>
      <c r="D360">
        <v>294</v>
      </c>
      <c r="E360">
        <f>1.38*2</f>
        <v>2.76</v>
      </c>
      <c r="F360">
        <f>1.38*2</f>
        <v>2.76</v>
      </c>
      <c r="K360">
        <f>453-273</f>
        <v>180</v>
      </c>
      <c r="L360">
        <v>96</v>
      </c>
      <c r="M360" t="s">
        <v>584</v>
      </c>
      <c r="N360" s="8" t="s">
        <v>824</v>
      </c>
      <c r="O360" t="s">
        <v>825</v>
      </c>
      <c r="P360" t="s">
        <v>843</v>
      </c>
    </row>
    <row r="361" spans="1:16" x14ac:dyDescent="0.4">
      <c r="A361" t="s">
        <v>585</v>
      </c>
      <c r="B361">
        <v>11.19</v>
      </c>
      <c r="C361">
        <v>1</v>
      </c>
      <c r="D361">
        <v>294</v>
      </c>
      <c r="E361">
        <f>1.38*2</f>
        <v>2.76</v>
      </c>
      <c r="F361">
        <f t="shared" ref="F361" si="7">1.38*2</f>
        <v>2.76</v>
      </c>
      <c r="K361">
        <v>180</v>
      </c>
      <c r="L361">
        <v>72</v>
      </c>
      <c r="M361" t="s">
        <v>584</v>
      </c>
    </row>
    <row r="362" spans="1:16" x14ac:dyDescent="0.4">
      <c r="A362" t="s">
        <v>586</v>
      </c>
      <c r="B362">
        <v>30</v>
      </c>
      <c r="C362">
        <v>1</v>
      </c>
      <c r="D362">
        <v>499.5</v>
      </c>
      <c r="E362">
        <f>5.55*2</f>
        <v>11.1</v>
      </c>
      <c r="F362">
        <v>11.1</v>
      </c>
      <c r="K362">
        <f>443-273</f>
        <v>170</v>
      </c>
      <c r="L362">
        <v>24</v>
      </c>
      <c r="M362" t="s">
        <v>28</v>
      </c>
      <c r="N362" s="12" t="s">
        <v>844</v>
      </c>
      <c r="O362" t="s">
        <v>845</v>
      </c>
      <c r="P362" t="s">
        <v>846</v>
      </c>
    </row>
    <row r="363" spans="1:16" x14ac:dyDescent="0.4">
      <c r="A363" t="s">
        <v>587</v>
      </c>
      <c r="B363">
        <v>30</v>
      </c>
      <c r="C363">
        <v>1</v>
      </c>
      <c r="D363">
        <v>580.5</v>
      </c>
      <c r="E363">
        <v>12.9</v>
      </c>
      <c r="F363">
        <v>12.9</v>
      </c>
      <c r="K363">
        <v>170</v>
      </c>
      <c r="L363">
        <v>24</v>
      </c>
      <c r="M363" t="s">
        <v>28</v>
      </c>
    </row>
    <row r="364" spans="1:16" x14ac:dyDescent="0.4">
      <c r="A364" t="s">
        <v>588</v>
      </c>
      <c r="B364">
        <v>25</v>
      </c>
      <c r="C364">
        <v>1</v>
      </c>
      <c r="D364">
        <v>500</v>
      </c>
      <c r="E364">
        <f>5.7*2</f>
        <v>11.4</v>
      </c>
      <c r="F364">
        <v>10.8</v>
      </c>
      <c r="K364">
        <f>443-273</f>
        <v>170</v>
      </c>
      <c r="L364">
        <v>24</v>
      </c>
      <c r="M364" t="s">
        <v>28</v>
      </c>
    </row>
    <row r="365" spans="1:16" x14ac:dyDescent="0.4">
      <c r="A365" t="s">
        <v>589</v>
      </c>
      <c r="B365">
        <v>30</v>
      </c>
      <c r="C365">
        <v>1</v>
      </c>
      <c r="D365">
        <v>500</v>
      </c>
      <c r="E365">
        <f t="shared" ref="E365" si="8">5.7*2</f>
        <v>11.4</v>
      </c>
      <c r="F365">
        <v>10.8</v>
      </c>
      <c r="K365">
        <f>443-273</f>
        <v>170</v>
      </c>
      <c r="L365">
        <v>24</v>
      </c>
      <c r="M365" t="s">
        <v>28</v>
      </c>
    </row>
    <row r="366" spans="1:16" x14ac:dyDescent="0.4">
      <c r="A366" t="s">
        <v>590</v>
      </c>
      <c r="B366">
        <v>30</v>
      </c>
      <c r="C366">
        <v>1</v>
      </c>
      <c r="D366">
        <v>388.5</v>
      </c>
      <c r="E366">
        <v>11.1</v>
      </c>
      <c r="F366">
        <v>11.1</v>
      </c>
      <c r="K366">
        <f>443-273</f>
        <v>170</v>
      </c>
      <c r="L366">
        <v>24</v>
      </c>
      <c r="M366" t="s">
        <v>28</v>
      </c>
    </row>
    <row r="367" spans="1:16" x14ac:dyDescent="0.4">
      <c r="A367" t="s">
        <v>591</v>
      </c>
      <c r="B367">
        <v>5.0999999999999996</v>
      </c>
      <c r="C367">
        <v>1</v>
      </c>
      <c r="D367">
        <v>110</v>
      </c>
      <c r="F367">
        <v>2.8</v>
      </c>
      <c r="K367">
        <v>100</v>
      </c>
      <c r="L367">
        <f>24*3</f>
        <v>72</v>
      </c>
      <c r="M367" t="s">
        <v>119</v>
      </c>
      <c r="N367" s="8" t="s">
        <v>847</v>
      </c>
      <c r="O367" t="s">
        <v>848</v>
      </c>
    </row>
    <row r="368" spans="1:16" x14ac:dyDescent="0.4">
      <c r="A368" t="s">
        <v>592</v>
      </c>
      <c r="B368">
        <v>40</v>
      </c>
      <c r="C368">
        <v>1</v>
      </c>
      <c r="D368">
        <v>400</v>
      </c>
      <c r="E368">
        <v>0.2</v>
      </c>
      <c r="K368">
        <v>160</v>
      </c>
      <c r="L368">
        <f>8*24</f>
        <v>192</v>
      </c>
      <c r="M368" t="s">
        <v>34</v>
      </c>
      <c r="N368" s="8" t="s">
        <v>849</v>
      </c>
      <c r="O368" t="s">
        <v>850</v>
      </c>
      <c r="P368" t="s">
        <v>851</v>
      </c>
    </row>
    <row r="369" spans="1:16" x14ac:dyDescent="0.4">
      <c r="A369" t="s">
        <v>593</v>
      </c>
      <c r="B369">
        <v>60</v>
      </c>
      <c r="C369">
        <v>1</v>
      </c>
      <c r="D369">
        <v>600</v>
      </c>
      <c r="E369">
        <v>0.2</v>
      </c>
      <c r="K369">
        <v>160</v>
      </c>
      <c r="L369">
        <f>7*24</f>
        <v>168</v>
      </c>
      <c r="M369" t="s">
        <v>34</v>
      </c>
    </row>
    <row r="370" spans="1:16" x14ac:dyDescent="0.4">
      <c r="A370" t="s">
        <v>594</v>
      </c>
      <c r="B370">
        <v>60</v>
      </c>
      <c r="C370">
        <v>1</v>
      </c>
      <c r="D370">
        <v>600</v>
      </c>
      <c r="E370">
        <v>0.25</v>
      </c>
      <c r="K370">
        <v>160</v>
      </c>
      <c r="L370">
        <f>7*24</f>
        <v>168</v>
      </c>
      <c r="M370" t="s">
        <v>34</v>
      </c>
    </row>
    <row r="371" spans="1:16" x14ac:dyDescent="0.4">
      <c r="A371" t="s">
        <v>595</v>
      </c>
      <c r="B371">
        <v>40</v>
      </c>
      <c r="C371">
        <v>1</v>
      </c>
      <c r="D371">
        <v>400</v>
      </c>
      <c r="E371">
        <v>0.25</v>
      </c>
      <c r="K371">
        <v>160</v>
      </c>
      <c r="L371">
        <f>15*24</f>
        <v>360</v>
      </c>
      <c r="M371" t="s">
        <v>24</v>
      </c>
    </row>
    <row r="372" spans="1:16" x14ac:dyDescent="0.4">
      <c r="A372" t="s">
        <v>596</v>
      </c>
      <c r="B372">
        <v>40</v>
      </c>
      <c r="C372">
        <v>1</v>
      </c>
      <c r="D372">
        <v>400</v>
      </c>
      <c r="E372">
        <f>0.175*2</f>
        <v>0.35</v>
      </c>
      <c r="K372">
        <v>160</v>
      </c>
      <c r="L372">
        <f>7*24</f>
        <v>168</v>
      </c>
      <c r="M372" t="s">
        <v>24</v>
      </c>
    </row>
    <row r="373" spans="1:16" x14ac:dyDescent="0.4">
      <c r="A373" t="s">
        <v>597</v>
      </c>
      <c r="B373">
        <v>60</v>
      </c>
      <c r="C373">
        <v>1</v>
      </c>
      <c r="D373">
        <v>600</v>
      </c>
      <c r="E373">
        <f>0.35</f>
        <v>0.35</v>
      </c>
      <c r="K373">
        <v>160</v>
      </c>
      <c r="L373">
        <f>7*24</f>
        <v>168</v>
      </c>
      <c r="M373" t="s">
        <v>24</v>
      </c>
    </row>
    <row r="374" spans="1:16" x14ac:dyDescent="0.4">
      <c r="A374" t="s">
        <v>598</v>
      </c>
      <c r="B374">
        <v>40</v>
      </c>
      <c r="C374">
        <v>1</v>
      </c>
      <c r="D374">
        <v>400</v>
      </c>
      <c r="E374">
        <v>0.3</v>
      </c>
      <c r="K374">
        <v>160</v>
      </c>
      <c r="L374">
        <f>240</f>
        <v>240</v>
      </c>
      <c r="M374" t="s">
        <v>24</v>
      </c>
    </row>
    <row r="375" spans="1:16" x14ac:dyDescent="0.4">
      <c r="A375" t="s">
        <v>599</v>
      </c>
      <c r="B375">
        <v>20</v>
      </c>
      <c r="C375">
        <v>1</v>
      </c>
      <c r="D375">
        <v>200</v>
      </c>
      <c r="F375">
        <v>16</v>
      </c>
      <c r="K375">
        <v>170</v>
      </c>
      <c r="L375">
        <v>11</v>
      </c>
      <c r="M375" t="s">
        <v>28</v>
      </c>
      <c r="N375" s="14" t="s">
        <v>852</v>
      </c>
      <c r="O375" s="22" t="s">
        <v>853</v>
      </c>
      <c r="P375" s="22" t="s">
        <v>854</v>
      </c>
    </row>
    <row r="376" spans="1:16" x14ac:dyDescent="0.4">
      <c r="A376" t="s">
        <v>600</v>
      </c>
      <c r="B376">
        <v>10</v>
      </c>
      <c r="C376">
        <v>1</v>
      </c>
      <c r="D376">
        <v>100</v>
      </c>
      <c r="F376">
        <v>8</v>
      </c>
      <c r="K376">
        <v>170</v>
      </c>
      <c r="L376">
        <v>20</v>
      </c>
      <c r="M376" t="s">
        <v>28</v>
      </c>
    </row>
    <row r="377" spans="1:16" x14ac:dyDescent="0.4">
      <c r="A377" t="s">
        <v>601</v>
      </c>
      <c r="B377">
        <v>8</v>
      </c>
      <c r="C377">
        <v>1</v>
      </c>
      <c r="D377">
        <v>80</v>
      </c>
      <c r="F377">
        <v>6.4</v>
      </c>
      <c r="K377">
        <v>170</v>
      </c>
      <c r="L377">
        <v>45</v>
      </c>
      <c r="M377" t="s">
        <v>28</v>
      </c>
    </row>
    <row r="378" spans="1:16" x14ac:dyDescent="0.4">
      <c r="A378" t="s">
        <v>602</v>
      </c>
      <c r="B378">
        <v>8</v>
      </c>
      <c r="C378">
        <v>1</v>
      </c>
      <c r="D378">
        <v>80</v>
      </c>
      <c r="F378">
        <v>4.8</v>
      </c>
      <c r="K378">
        <v>170</v>
      </c>
      <c r="L378">
        <v>45</v>
      </c>
      <c r="M378" t="s">
        <v>28</v>
      </c>
    </row>
    <row r="379" spans="1:16" x14ac:dyDescent="0.4">
      <c r="A379" t="s">
        <v>603</v>
      </c>
      <c r="B379">
        <v>8</v>
      </c>
      <c r="C379">
        <v>1</v>
      </c>
      <c r="D379">
        <v>80</v>
      </c>
      <c r="F379">
        <v>4</v>
      </c>
      <c r="K379">
        <v>170</v>
      </c>
      <c r="L379">
        <v>45</v>
      </c>
      <c r="M379" t="s">
        <v>28</v>
      </c>
    </row>
    <row r="380" spans="1:16" x14ac:dyDescent="0.4">
      <c r="A380" t="s">
        <v>604</v>
      </c>
      <c r="B380">
        <v>8</v>
      </c>
      <c r="C380">
        <v>1</v>
      </c>
      <c r="D380">
        <v>100</v>
      </c>
      <c r="F380">
        <v>4</v>
      </c>
      <c r="K380">
        <v>170</v>
      </c>
      <c r="L380">
        <v>55</v>
      </c>
      <c r="M380" t="s">
        <v>28</v>
      </c>
    </row>
    <row r="381" spans="1:16" x14ac:dyDescent="0.4">
      <c r="A381" t="s">
        <v>605</v>
      </c>
      <c r="B381">
        <v>8</v>
      </c>
      <c r="C381">
        <v>1</v>
      </c>
      <c r="D381">
        <v>133</v>
      </c>
      <c r="F381">
        <v>4</v>
      </c>
      <c r="K381">
        <v>170</v>
      </c>
      <c r="L381">
        <v>77</v>
      </c>
      <c r="M381" t="s">
        <v>28</v>
      </c>
    </row>
    <row r="382" spans="1:16" x14ac:dyDescent="0.4">
      <c r="A382" t="s">
        <v>606</v>
      </c>
      <c r="B382">
        <v>10</v>
      </c>
      <c r="C382">
        <v>2.2000000000000002</v>
      </c>
      <c r="D382">
        <v>383</v>
      </c>
      <c r="E382">
        <v>46</v>
      </c>
      <c r="K382">
        <v>80</v>
      </c>
      <c r="L382">
        <v>15</v>
      </c>
      <c r="M382" t="s">
        <v>20</v>
      </c>
      <c r="N382" s="15" t="s">
        <v>855</v>
      </c>
      <c r="O382" t="s">
        <v>856</v>
      </c>
      <c r="P382" t="s">
        <v>857</v>
      </c>
    </row>
    <row r="383" spans="1:16" x14ac:dyDescent="0.4">
      <c r="A383" t="s">
        <v>607</v>
      </c>
      <c r="B383">
        <v>10</v>
      </c>
      <c r="C383">
        <v>0.77</v>
      </c>
      <c r="D383">
        <v>110</v>
      </c>
      <c r="E383">
        <v>15.8</v>
      </c>
      <c r="G383">
        <v>0.94</v>
      </c>
      <c r="K383">
        <v>80</v>
      </c>
      <c r="L383">
        <v>15</v>
      </c>
      <c r="M383" t="s">
        <v>582</v>
      </c>
    </row>
    <row r="384" spans="1:16" x14ac:dyDescent="0.4">
      <c r="A384" t="s">
        <v>608</v>
      </c>
      <c r="B384">
        <v>10</v>
      </c>
      <c r="C384">
        <v>2.2000000000000002</v>
      </c>
      <c r="D384">
        <v>294</v>
      </c>
      <c r="E384">
        <v>46</v>
      </c>
      <c r="G384">
        <v>2.8</v>
      </c>
      <c r="K384">
        <v>80</v>
      </c>
      <c r="L384">
        <v>15</v>
      </c>
      <c r="M384" t="s">
        <v>30</v>
      </c>
    </row>
    <row r="385" spans="1:16" x14ac:dyDescent="0.4">
      <c r="A385" t="s">
        <v>609</v>
      </c>
      <c r="B385">
        <v>1</v>
      </c>
      <c r="C385">
        <v>0.5</v>
      </c>
      <c r="D385">
        <v>54</v>
      </c>
      <c r="E385">
        <v>3</v>
      </c>
      <c r="F385">
        <v>1.4</v>
      </c>
      <c r="K385">
        <v>150</v>
      </c>
      <c r="L385">
        <v>7</v>
      </c>
      <c r="M385" t="s">
        <v>36</v>
      </c>
      <c r="N385" s="16" t="s">
        <v>858</v>
      </c>
      <c r="O385" t="s">
        <v>859</v>
      </c>
      <c r="P385" t="s">
        <v>860</v>
      </c>
    </row>
    <row r="386" spans="1:16" x14ac:dyDescent="0.4">
      <c r="A386" t="s">
        <v>610</v>
      </c>
      <c r="B386">
        <v>10</v>
      </c>
      <c r="C386">
        <v>0.8</v>
      </c>
      <c r="D386">
        <v>120</v>
      </c>
      <c r="E386">
        <v>16</v>
      </c>
      <c r="G386">
        <v>0.8</v>
      </c>
      <c r="K386">
        <v>90</v>
      </c>
      <c r="L386">
        <v>8</v>
      </c>
      <c r="M386" t="s">
        <v>582</v>
      </c>
      <c r="N386" s="12" t="s">
        <v>861</v>
      </c>
      <c r="O386" t="s">
        <v>862</v>
      </c>
      <c r="P386" t="s">
        <v>863</v>
      </c>
    </row>
    <row r="387" spans="1:16" x14ac:dyDescent="0.4">
      <c r="A387" t="s">
        <v>611</v>
      </c>
      <c r="B387">
        <v>10</v>
      </c>
      <c r="C387">
        <v>0.8</v>
      </c>
      <c r="D387">
        <v>120</v>
      </c>
      <c r="E387">
        <v>16</v>
      </c>
      <c r="F387">
        <v>2.5</v>
      </c>
      <c r="G387">
        <v>0.6</v>
      </c>
      <c r="K387">
        <v>90</v>
      </c>
      <c r="L387">
        <v>8</v>
      </c>
      <c r="M387" t="s">
        <v>119</v>
      </c>
    </row>
    <row r="388" spans="1:16" x14ac:dyDescent="0.4">
      <c r="A388" t="s">
        <v>612</v>
      </c>
      <c r="B388">
        <v>10</v>
      </c>
      <c r="C388">
        <v>0.8</v>
      </c>
      <c r="D388">
        <v>120</v>
      </c>
      <c r="E388">
        <v>16</v>
      </c>
      <c r="F388">
        <v>2.5</v>
      </c>
      <c r="K388">
        <v>90</v>
      </c>
      <c r="L388">
        <v>8</v>
      </c>
      <c r="M388" t="s">
        <v>18</v>
      </c>
    </row>
    <row r="389" spans="1:16" x14ac:dyDescent="0.4">
      <c r="A389" t="s">
        <v>613</v>
      </c>
      <c r="B389">
        <v>10</v>
      </c>
      <c r="C389">
        <v>0.8</v>
      </c>
      <c r="D389">
        <v>120</v>
      </c>
      <c r="E389">
        <v>16</v>
      </c>
      <c r="F389">
        <v>3.4</v>
      </c>
      <c r="G389">
        <v>0.6</v>
      </c>
      <c r="K389">
        <v>90</v>
      </c>
      <c r="L389">
        <v>8</v>
      </c>
      <c r="M389" t="s">
        <v>134</v>
      </c>
    </row>
    <row r="390" spans="1:16" x14ac:dyDescent="0.4">
      <c r="A390" t="s">
        <v>614</v>
      </c>
      <c r="B390">
        <v>16</v>
      </c>
      <c r="C390">
        <v>1</v>
      </c>
      <c r="D390">
        <v>1030</v>
      </c>
      <c r="F390">
        <f>10.9*2</f>
        <v>21.8</v>
      </c>
      <c r="K390">
        <v>180</v>
      </c>
      <c r="L390">
        <f>24*3</f>
        <v>72</v>
      </c>
      <c r="M390" t="s">
        <v>28</v>
      </c>
      <c r="N390" s="17" t="s">
        <v>864</v>
      </c>
      <c r="O390" t="s">
        <v>865</v>
      </c>
      <c r="P390" t="s">
        <v>866</v>
      </c>
    </row>
    <row r="391" spans="1:16" x14ac:dyDescent="0.4">
      <c r="A391" t="s">
        <v>615</v>
      </c>
      <c r="B391">
        <v>24</v>
      </c>
      <c r="C391">
        <v>1</v>
      </c>
      <c r="D391">
        <v>1030</v>
      </c>
      <c r="F391">
        <f t="shared" ref="F391" si="9">10.9*2</f>
        <v>21.8</v>
      </c>
      <c r="K391">
        <v>180</v>
      </c>
      <c r="L391">
        <f t="shared" ref="L391:L393" si="10">24*3</f>
        <v>72</v>
      </c>
      <c r="M391" t="s">
        <v>28</v>
      </c>
    </row>
    <row r="392" spans="1:16" x14ac:dyDescent="0.4">
      <c r="A392" t="s">
        <v>616</v>
      </c>
      <c r="B392">
        <v>20</v>
      </c>
      <c r="C392">
        <v>1</v>
      </c>
      <c r="D392">
        <v>1030</v>
      </c>
      <c r="F392">
        <f>10.2*2</f>
        <v>20.399999999999999</v>
      </c>
      <c r="K392">
        <v>180</v>
      </c>
      <c r="L392">
        <f t="shared" si="10"/>
        <v>72</v>
      </c>
      <c r="M392" t="s">
        <v>28</v>
      </c>
    </row>
    <row r="393" spans="1:16" x14ac:dyDescent="0.4">
      <c r="A393" t="s">
        <v>617</v>
      </c>
      <c r="B393">
        <v>20</v>
      </c>
      <c r="C393">
        <v>1</v>
      </c>
      <c r="D393">
        <v>1030</v>
      </c>
      <c r="F393">
        <f>11.9*2</f>
        <v>23.8</v>
      </c>
      <c r="K393">
        <v>180</v>
      </c>
      <c r="L393">
        <f t="shared" si="10"/>
        <v>72</v>
      </c>
      <c r="M393" t="s">
        <v>28</v>
      </c>
    </row>
    <row r="394" spans="1:16" x14ac:dyDescent="0.4">
      <c r="A394" t="s">
        <v>618</v>
      </c>
      <c r="B394">
        <v>5</v>
      </c>
      <c r="C394">
        <v>1</v>
      </c>
      <c r="D394">
        <v>600</v>
      </c>
      <c r="F394">
        <v>15</v>
      </c>
      <c r="K394">
        <v>150</v>
      </c>
      <c r="L394">
        <f>15*24</f>
        <v>360</v>
      </c>
      <c r="M394" t="s">
        <v>26</v>
      </c>
      <c r="N394" s="8" t="s">
        <v>867</v>
      </c>
      <c r="O394" t="s">
        <v>868</v>
      </c>
      <c r="P394" t="s">
        <v>869</v>
      </c>
    </row>
    <row r="395" spans="1:16" x14ac:dyDescent="0.4">
      <c r="A395" t="s">
        <v>619</v>
      </c>
      <c r="B395">
        <v>6.4</v>
      </c>
      <c r="C395">
        <v>1</v>
      </c>
      <c r="D395">
        <v>164.6</v>
      </c>
      <c r="F395">
        <f>5.6*2</f>
        <v>11.2</v>
      </c>
      <c r="K395">
        <v>165</v>
      </c>
      <c r="L395">
        <v>72</v>
      </c>
      <c r="M395" t="s">
        <v>26</v>
      </c>
      <c r="N395" s="8" t="s">
        <v>870</v>
      </c>
      <c r="O395" t="s">
        <v>871</v>
      </c>
    </row>
    <row r="396" spans="1:16" x14ac:dyDescent="0.4">
      <c r="A396" t="s">
        <v>620</v>
      </c>
      <c r="B396">
        <v>20</v>
      </c>
      <c r="C396">
        <v>1</v>
      </c>
      <c r="D396">
        <v>280</v>
      </c>
      <c r="E396">
        <v>10.4</v>
      </c>
      <c r="F396">
        <v>3.6</v>
      </c>
      <c r="K396">
        <f>378-273</f>
        <v>105</v>
      </c>
      <c r="L396">
        <v>40</v>
      </c>
      <c r="M396" t="s">
        <v>297</v>
      </c>
      <c r="N396" s="12" t="s">
        <v>872</v>
      </c>
      <c r="O396" t="s">
        <v>873</v>
      </c>
      <c r="P396" t="s">
        <v>874</v>
      </c>
    </row>
    <row r="397" spans="1:16" x14ac:dyDescent="0.4">
      <c r="A397" t="s">
        <v>621</v>
      </c>
      <c r="B397">
        <v>20</v>
      </c>
      <c r="C397">
        <v>1</v>
      </c>
      <c r="D397">
        <v>280</v>
      </c>
      <c r="E397">
        <v>10.4</v>
      </c>
      <c r="F397">
        <v>3.6</v>
      </c>
      <c r="K397">
        <f>378-273</f>
        <v>105</v>
      </c>
      <c r="L397">
        <v>25</v>
      </c>
      <c r="M397" t="s">
        <v>297</v>
      </c>
    </row>
    <row r="398" spans="1:16" x14ac:dyDescent="0.4">
      <c r="A398" t="s">
        <v>622</v>
      </c>
      <c r="B398">
        <v>20</v>
      </c>
      <c r="C398">
        <v>0.5</v>
      </c>
      <c r="D398">
        <v>1030</v>
      </c>
      <c r="F398">
        <v>20.399999999999999</v>
      </c>
      <c r="K398">
        <v>180</v>
      </c>
      <c r="L398">
        <v>24</v>
      </c>
      <c r="M398" t="s">
        <v>28</v>
      </c>
      <c r="N398" s="18" t="s">
        <v>875</v>
      </c>
      <c r="O398" t="s">
        <v>876</v>
      </c>
      <c r="P398" t="s">
        <v>877</v>
      </c>
    </row>
    <row r="399" spans="1:16" x14ac:dyDescent="0.4">
      <c r="A399" t="s">
        <v>623</v>
      </c>
      <c r="B399">
        <v>10</v>
      </c>
      <c r="C399">
        <v>1.2</v>
      </c>
      <c r="D399">
        <v>200</v>
      </c>
      <c r="E399">
        <v>5</v>
      </c>
      <c r="K399">
        <v>130</v>
      </c>
      <c r="L399">
        <v>72</v>
      </c>
      <c r="M399" t="s">
        <v>22</v>
      </c>
      <c r="N399" s="16" t="s">
        <v>878</v>
      </c>
      <c r="O399" t="s">
        <v>879</v>
      </c>
      <c r="P399" t="s">
        <v>880</v>
      </c>
    </row>
    <row r="400" spans="1:16" x14ac:dyDescent="0.4">
      <c r="A400" t="s">
        <v>624</v>
      </c>
      <c r="B400">
        <v>10</v>
      </c>
      <c r="C400">
        <v>0.8</v>
      </c>
      <c r="D400">
        <v>200</v>
      </c>
      <c r="E400">
        <v>5</v>
      </c>
      <c r="K400">
        <v>130</v>
      </c>
      <c r="L400">
        <v>72</v>
      </c>
      <c r="M400" t="s">
        <v>24</v>
      </c>
    </row>
    <row r="401" spans="1:16" x14ac:dyDescent="0.4">
      <c r="A401" t="s">
        <v>625</v>
      </c>
      <c r="B401">
        <v>1</v>
      </c>
      <c r="C401">
        <v>2.5999999999999999E-2</v>
      </c>
      <c r="D401">
        <v>14</v>
      </c>
      <c r="E401">
        <v>0.49</v>
      </c>
      <c r="F401">
        <v>0.15</v>
      </c>
      <c r="K401">
        <v>120</v>
      </c>
      <c r="L401">
        <f>8.5*7</f>
        <v>59.5</v>
      </c>
      <c r="M401" t="s">
        <v>297</v>
      </c>
      <c r="N401" s="16" t="s">
        <v>645</v>
      </c>
      <c r="O401" t="s">
        <v>881</v>
      </c>
      <c r="P401" t="s">
        <v>882</v>
      </c>
    </row>
    <row r="402" spans="1:16" x14ac:dyDescent="0.4">
      <c r="A402" t="s">
        <v>626</v>
      </c>
      <c r="B402">
        <v>10</v>
      </c>
      <c r="C402">
        <v>1</v>
      </c>
      <c r="D402">
        <v>160</v>
      </c>
      <c r="F402">
        <v>6.08</v>
      </c>
      <c r="K402">
        <v>180</v>
      </c>
      <c r="L402">
        <v>48</v>
      </c>
      <c r="M402" t="s">
        <v>28</v>
      </c>
      <c r="N402" s="19" t="s">
        <v>883</v>
      </c>
      <c r="O402" t="s">
        <v>884</v>
      </c>
      <c r="P402" t="s">
        <v>885</v>
      </c>
    </row>
    <row r="403" spans="1:16" x14ac:dyDescent="0.4">
      <c r="A403" t="s">
        <v>627</v>
      </c>
      <c r="B403">
        <v>10</v>
      </c>
      <c r="C403">
        <v>1.2</v>
      </c>
      <c r="D403">
        <v>160</v>
      </c>
      <c r="F403">
        <f>2.62*2</f>
        <v>5.24</v>
      </c>
      <c r="K403">
        <v>180</v>
      </c>
      <c r="L403">
        <v>48</v>
      </c>
      <c r="M403" t="s">
        <v>28</v>
      </c>
    </row>
    <row r="404" spans="1:16" x14ac:dyDescent="0.4">
      <c r="A404" t="s">
        <v>628</v>
      </c>
      <c r="B404">
        <v>8</v>
      </c>
      <c r="C404">
        <v>1</v>
      </c>
      <c r="D404">
        <v>160</v>
      </c>
      <c r="F404">
        <v>5.24</v>
      </c>
      <c r="K404">
        <v>180</v>
      </c>
      <c r="L404">
        <v>48</v>
      </c>
      <c r="M404" t="s">
        <v>28</v>
      </c>
    </row>
    <row r="405" spans="1:16" x14ac:dyDescent="0.4">
      <c r="A405" t="s">
        <v>629</v>
      </c>
      <c r="B405">
        <v>10</v>
      </c>
      <c r="C405">
        <v>1</v>
      </c>
      <c r="D405">
        <v>80</v>
      </c>
      <c r="F405">
        <v>5.24</v>
      </c>
      <c r="K405">
        <v>180</v>
      </c>
      <c r="L405">
        <v>48</v>
      </c>
      <c r="M405" t="s">
        <v>28</v>
      </c>
    </row>
    <row r="406" spans="1:16" x14ac:dyDescent="0.4">
      <c r="A406" t="s">
        <v>630</v>
      </c>
      <c r="B406">
        <v>10</v>
      </c>
      <c r="C406">
        <v>1</v>
      </c>
      <c r="D406">
        <v>160</v>
      </c>
      <c r="F406">
        <f>3.54*2</f>
        <v>7.08</v>
      </c>
      <c r="K406">
        <v>180</v>
      </c>
      <c r="L406">
        <v>48</v>
      </c>
      <c r="M406" t="s">
        <v>28</v>
      </c>
    </row>
    <row r="407" spans="1:16" x14ac:dyDescent="0.4">
      <c r="A407" t="s">
        <v>631</v>
      </c>
      <c r="B407">
        <v>2</v>
      </c>
      <c r="C407">
        <v>1</v>
      </c>
      <c r="D407">
        <v>30</v>
      </c>
      <c r="E407">
        <v>1.5</v>
      </c>
      <c r="F407">
        <v>1.5</v>
      </c>
      <c r="K407">
        <v>100</v>
      </c>
      <c r="L407">
        <v>64</v>
      </c>
      <c r="M407" t="s">
        <v>297</v>
      </c>
      <c r="N407" t="s">
        <v>646</v>
      </c>
    </row>
    <row r="408" spans="1:16" x14ac:dyDescent="0.4">
      <c r="A408" t="s">
        <v>632</v>
      </c>
      <c r="B408">
        <v>2</v>
      </c>
      <c r="C408">
        <v>1</v>
      </c>
      <c r="D408">
        <v>30</v>
      </c>
      <c r="E408">
        <v>1.5</v>
      </c>
      <c r="F408">
        <v>1.5</v>
      </c>
      <c r="K408">
        <v>100</v>
      </c>
      <c r="L408">
        <v>41</v>
      </c>
      <c r="M408" t="s">
        <v>297</v>
      </c>
    </row>
    <row r="409" spans="1:16" x14ac:dyDescent="0.4">
      <c r="A409" t="s">
        <v>633</v>
      </c>
      <c r="B409">
        <v>5.5</v>
      </c>
      <c r="C409">
        <v>0.17</v>
      </c>
      <c r="D409">
        <v>190</v>
      </c>
      <c r="E409">
        <v>5.3</v>
      </c>
      <c r="K409">
        <v>135</v>
      </c>
      <c r="L409">
        <v>190</v>
      </c>
      <c r="M409" t="s">
        <v>22</v>
      </c>
      <c r="N409" t="s">
        <v>38</v>
      </c>
      <c r="O409" t="s">
        <v>39</v>
      </c>
      <c r="P409" t="s">
        <v>40</v>
      </c>
    </row>
    <row r="410" spans="1:16" x14ac:dyDescent="0.4">
      <c r="A410" t="s">
        <v>634</v>
      </c>
      <c r="B410">
        <v>5.7</v>
      </c>
      <c r="C410">
        <v>0.36</v>
      </c>
      <c r="D410">
        <v>190</v>
      </c>
      <c r="E410">
        <v>22.3</v>
      </c>
      <c r="K410">
        <v>100</v>
      </c>
      <c r="L410">
        <v>190</v>
      </c>
      <c r="M410" t="s">
        <v>22</v>
      </c>
    </row>
    <row r="411" spans="1:16" x14ac:dyDescent="0.4">
      <c r="A411" t="s">
        <v>635</v>
      </c>
      <c r="B411">
        <v>10</v>
      </c>
      <c r="C411">
        <v>0.05</v>
      </c>
      <c r="D411">
        <v>190</v>
      </c>
      <c r="E411">
        <v>10</v>
      </c>
      <c r="K411">
        <v>120</v>
      </c>
      <c r="L411">
        <v>72</v>
      </c>
      <c r="M411" t="s">
        <v>32</v>
      </c>
    </row>
    <row r="412" spans="1:16" x14ac:dyDescent="0.4">
      <c r="A412" t="s">
        <v>636</v>
      </c>
      <c r="B412">
        <v>5.6</v>
      </c>
      <c r="C412">
        <v>0.17</v>
      </c>
      <c r="D412">
        <v>190</v>
      </c>
      <c r="E412">
        <v>5.3</v>
      </c>
      <c r="K412">
        <v>150</v>
      </c>
      <c r="L412">
        <v>480</v>
      </c>
      <c r="M412" t="s">
        <v>32</v>
      </c>
    </row>
    <row r="413" spans="1:16" x14ac:dyDescent="0.4">
      <c r="A413" t="s">
        <v>637</v>
      </c>
      <c r="B413">
        <v>7.8</v>
      </c>
      <c r="C413">
        <v>0.6</v>
      </c>
      <c r="D413">
        <v>190</v>
      </c>
      <c r="E413">
        <v>1.9</v>
      </c>
      <c r="K413">
        <v>180</v>
      </c>
      <c r="L413">
        <v>72</v>
      </c>
      <c r="M413" t="s">
        <v>32</v>
      </c>
    </row>
    <row r="414" spans="1:16" x14ac:dyDescent="0.4">
      <c r="A414" t="s">
        <v>638</v>
      </c>
      <c r="B414">
        <v>1.8</v>
      </c>
      <c r="C414">
        <v>1</v>
      </c>
      <c r="D414">
        <v>214</v>
      </c>
      <c r="E414">
        <v>24</v>
      </c>
      <c r="K414">
        <v>60</v>
      </c>
      <c r="L414">
        <v>3</v>
      </c>
      <c r="M414" t="s">
        <v>13</v>
      </c>
      <c r="N414" s="16" t="s">
        <v>886</v>
      </c>
      <c r="O414" t="s">
        <v>887</v>
      </c>
      <c r="P414" t="s">
        <v>888</v>
      </c>
    </row>
    <row r="415" spans="1:16" x14ac:dyDescent="0.4">
      <c r="A415" t="s">
        <v>639</v>
      </c>
      <c r="B415">
        <v>1</v>
      </c>
      <c r="C415">
        <v>1</v>
      </c>
      <c r="D415">
        <v>80</v>
      </c>
      <c r="E415">
        <v>14.6</v>
      </c>
      <c r="K415">
        <v>60</v>
      </c>
      <c r="L415">
        <v>5</v>
      </c>
      <c r="M415" t="s">
        <v>20</v>
      </c>
    </row>
    <row r="416" spans="1:16" x14ac:dyDescent="0.4">
      <c r="A416" t="s">
        <v>640</v>
      </c>
      <c r="B416">
        <v>1</v>
      </c>
      <c r="C416">
        <v>1</v>
      </c>
      <c r="D416">
        <v>160</v>
      </c>
      <c r="E416">
        <v>24</v>
      </c>
      <c r="K416">
        <v>60</v>
      </c>
      <c r="L416">
        <v>3</v>
      </c>
      <c r="M416" t="s">
        <v>13</v>
      </c>
    </row>
    <row r="417" spans="1:16" x14ac:dyDescent="0.4">
      <c r="A417" t="s">
        <v>641</v>
      </c>
      <c r="B417">
        <v>1</v>
      </c>
      <c r="C417">
        <v>1</v>
      </c>
      <c r="D417">
        <v>150</v>
      </c>
      <c r="E417">
        <v>8</v>
      </c>
      <c r="K417">
        <v>60</v>
      </c>
      <c r="L417">
        <v>72</v>
      </c>
      <c r="M417" t="s">
        <v>13</v>
      </c>
    </row>
    <row r="418" spans="1:16" x14ac:dyDescent="0.4">
      <c r="A418" t="s">
        <v>642</v>
      </c>
      <c r="B418">
        <v>1.4999999999999999E-2</v>
      </c>
      <c r="C418">
        <v>6.1000000000000004E-3</v>
      </c>
      <c r="D418">
        <v>0.78300000000000003</v>
      </c>
      <c r="E418">
        <v>7.4700000000000001E-3</v>
      </c>
      <c r="K418">
        <v>180</v>
      </c>
      <c r="L418">
        <v>24</v>
      </c>
      <c r="M418" t="s">
        <v>24</v>
      </c>
      <c r="N418" s="8" t="s">
        <v>889</v>
      </c>
      <c r="O418" t="s">
        <v>892</v>
      </c>
      <c r="P418" t="s">
        <v>929</v>
      </c>
    </row>
    <row r="419" spans="1:16" x14ac:dyDescent="0.4">
      <c r="A419" t="s">
        <v>643</v>
      </c>
      <c r="B419">
        <v>0.14099999999999999</v>
      </c>
      <c r="C419">
        <v>3.0959999999999998E-3</v>
      </c>
      <c r="D419">
        <v>1.86</v>
      </c>
      <c r="E419">
        <v>2.9899999999999999E-2</v>
      </c>
      <c r="K419">
        <f>453-273</f>
        <v>180</v>
      </c>
      <c r="L419">
        <v>72</v>
      </c>
      <c r="M419" t="s">
        <v>24</v>
      </c>
      <c r="N419" s="20" t="s">
        <v>890</v>
      </c>
      <c r="O419" t="s">
        <v>930</v>
      </c>
      <c r="P419" t="s">
        <v>931</v>
      </c>
    </row>
    <row r="420" spans="1:16" x14ac:dyDescent="0.4">
      <c r="A420" t="s">
        <v>644</v>
      </c>
      <c r="B420">
        <v>30</v>
      </c>
      <c r="C420">
        <v>1</v>
      </c>
      <c r="D420">
        <v>12</v>
      </c>
      <c r="E420">
        <v>780</v>
      </c>
      <c r="K420">
        <v>170</v>
      </c>
      <c r="L420">
        <v>24</v>
      </c>
      <c r="M420" t="s">
        <v>24</v>
      </c>
      <c r="N420" s="16" t="s">
        <v>891</v>
      </c>
      <c r="O420" t="s">
        <v>892</v>
      </c>
      <c r="P420" t="s">
        <v>893</v>
      </c>
    </row>
    <row r="421" spans="1:16" x14ac:dyDescent="0.4">
      <c r="A421" t="s">
        <v>647</v>
      </c>
      <c r="B421">
        <v>2</v>
      </c>
      <c r="C421">
        <v>0.63</v>
      </c>
      <c r="D421">
        <v>190</v>
      </c>
      <c r="E421">
        <v>11</v>
      </c>
      <c r="K421">
        <v>65</v>
      </c>
      <c r="L421">
        <v>168</v>
      </c>
      <c r="M421" t="s">
        <v>476</v>
      </c>
    </row>
    <row r="422" spans="1:16" x14ac:dyDescent="0.4">
      <c r="A422" t="s">
        <v>648</v>
      </c>
      <c r="B422">
        <v>2</v>
      </c>
      <c r="C422">
        <v>0.25</v>
      </c>
      <c r="D422">
        <v>190</v>
      </c>
      <c r="E422">
        <v>11</v>
      </c>
      <c r="K422">
        <v>65</v>
      </c>
      <c r="L422">
        <v>168</v>
      </c>
      <c r="M422" t="s">
        <v>476</v>
      </c>
    </row>
    <row r="423" spans="1:16" x14ac:dyDescent="0.4">
      <c r="A423" t="s">
        <v>649</v>
      </c>
      <c r="B423">
        <v>3.6</v>
      </c>
      <c r="C423">
        <v>0.45</v>
      </c>
      <c r="D423">
        <v>190</v>
      </c>
      <c r="E423">
        <v>11</v>
      </c>
      <c r="K423">
        <v>65</v>
      </c>
      <c r="L423">
        <v>168</v>
      </c>
      <c r="M423" t="s">
        <v>476</v>
      </c>
    </row>
    <row r="424" spans="1:16" x14ac:dyDescent="0.4">
      <c r="A424" t="s">
        <v>650</v>
      </c>
      <c r="B424">
        <v>5.5</v>
      </c>
      <c r="C424">
        <v>1.85</v>
      </c>
      <c r="D424">
        <v>190</v>
      </c>
      <c r="E424">
        <v>11</v>
      </c>
      <c r="K424">
        <v>65</v>
      </c>
      <c r="L424">
        <v>168</v>
      </c>
      <c r="M424" t="s">
        <v>476</v>
      </c>
    </row>
    <row r="425" spans="1:16" x14ac:dyDescent="0.4">
      <c r="A425" t="s">
        <v>651</v>
      </c>
      <c r="B425">
        <v>2</v>
      </c>
      <c r="C425">
        <v>1</v>
      </c>
      <c r="D425">
        <v>190</v>
      </c>
      <c r="E425">
        <v>11</v>
      </c>
      <c r="K425">
        <v>80</v>
      </c>
      <c r="L425">
        <v>168</v>
      </c>
      <c r="M425" t="s">
        <v>476</v>
      </c>
    </row>
    <row r="426" spans="1:16" x14ac:dyDescent="0.4">
      <c r="A426" t="s">
        <v>652</v>
      </c>
      <c r="B426">
        <v>3</v>
      </c>
      <c r="C426">
        <v>1</v>
      </c>
      <c r="D426">
        <v>190</v>
      </c>
      <c r="E426">
        <v>11</v>
      </c>
      <c r="K426">
        <v>95</v>
      </c>
      <c r="L426">
        <v>168</v>
      </c>
      <c r="M426" t="s">
        <v>477</v>
      </c>
    </row>
    <row r="427" spans="1:16" x14ac:dyDescent="0.4">
      <c r="A427" t="s">
        <v>653</v>
      </c>
      <c r="B427">
        <v>2</v>
      </c>
      <c r="C427">
        <v>1</v>
      </c>
      <c r="D427">
        <v>190</v>
      </c>
      <c r="E427">
        <v>11</v>
      </c>
      <c r="K427">
        <v>100</v>
      </c>
      <c r="L427">
        <v>168</v>
      </c>
      <c r="M427" t="s">
        <v>478</v>
      </c>
    </row>
    <row r="428" spans="1:16" x14ac:dyDescent="0.4">
      <c r="A428" t="s">
        <v>654</v>
      </c>
      <c r="B428">
        <v>3</v>
      </c>
      <c r="C428">
        <v>1</v>
      </c>
      <c r="D428">
        <v>190</v>
      </c>
      <c r="E428">
        <v>11</v>
      </c>
      <c r="K428">
        <v>100</v>
      </c>
      <c r="L428">
        <v>168</v>
      </c>
      <c r="M428" t="s">
        <v>479</v>
      </c>
    </row>
    <row r="429" spans="1:16" x14ac:dyDescent="0.4">
      <c r="A429" t="s">
        <v>655</v>
      </c>
      <c r="B429">
        <v>3.2</v>
      </c>
      <c r="C429">
        <v>1.85</v>
      </c>
      <c r="D429">
        <v>190</v>
      </c>
      <c r="E429">
        <v>11</v>
      </c>
      <c r="K429">
        <v>100</v>
      </c>
      <c r="L429">
        <v>168</v>
      </c>
      <c r="M429" t="s">
        <v>480</v>
      </c>
    </row>
    <row r="430" spans="1:16" x14ac:dyDescent="0.4">
      <c r="A430" t="s">
        <v>656</v>
      </c>
      <c r="B430">
        <v>4</v>
      </c>
      <c r="C430">
        <v>3</v>
      </c>
      <c r="D430">
        <v>190</v>
      </c>
      <c r="E430">
        <v>11</v>
      </c>
      <c r="K430">
        <v>100</v>
      </c>
      <c r="L430">
        <v>168</v>
      </c>
      <c r="M430" t="s">
        <v>481</v>
      </c>
    </row>
    <row r="431" spans="1:16" x14ac:dyDescent="0.4">
      <c r="A431" t="s">
        <v>657</v>
      </c>
      <c r="B431">
        <v>4.9000000000000004</v>
      </c>
      <c r="C431">
        <v>3.75</v>
      </c>
      <c r="D431">
        <v>190</v>
      </c>
      <c r="E431">
        <v>11</v>
      </c>
      <c r="K431">
        <v>100</v>
      </c>
      <c r="L431">
        <v>168</v>
      </c>
      <c r="M431" t="s">
        <v>481</v>
      </c>
    </row>
    <row r="432" spans="1:16" x14ac:dyDescent="0.4">
      <c r="A432" t="s">
        <v>658</v>
      </c>
      <c r="B432">
        <v>5.2</v>
      </c>
      <c r="C432">
        <v>2.2999999999999998</v>
      </c>
      <c r="D432">
        <v>190</v>
      </c>
      <c r="E432">
        <v>11</v>
      </c>
      <c r="K432">
        <v>100</v>
      </c>
      <c r="L432">
        <v>168</v>
      </c>
      <c r="M432" t="s">
        <v>482</v>
      </c>
    </row>
    <row r="433" spans="1:13" x14ac:dyDescent="0.4">
      <c r="A433" t="s">
        <v>659</v>
      </c>
      <c r="B433">
        <v>6.05</v>
      </c>
      <c r="C433">
        <v>5.7</v>
      </c>
      <c r="D433">
        <v>190</v>
      </c>
      <c r="E433">
        <v>11</v>
      </c>
      <c r="K433">
        <v>100</v>
      </c>
      <c r="L433">
        <v>168</v>
      </c>
      <c r="M433" t="s">
        <v>483</v>
      </c>
    </row>
    <row r="434" spans="1:13" x14ac:dyDescent="0.4">
      <c r="A434" t="s">
        <v>660</v>
      </c>
      <c r="B434">
        <v>7.7</v>
      </c>
      <c r="C434">
        <v>4.4000000000000004</v>
      </c>
      <c r="D434">
        <v>190</v>
      </c>
      <c r="E434">
        <v>11</v>
      </c>
      <c r="K434">
        <v>100</v>
      </c>
      <c r="L434">
        <v>168</v>
      </c>
      <c r="M434" t="s">
        <v>481</v>
      </c>
    </row>
    <row r="435" spans="1:13" x14ac:dyDescent="0.4">
      <c r="A435" t="s">
        <v>661</v>
      </c>
      <c r="B435">
        <v>8</v>
      </c>
      <c r="C435">
        <v>3.9</v>
      </c>
      <c r="D435">
        <v>190</v>
      </c>
      <c r="E435">
        <v>11</v>
      </c>
      <c r="K435">
        <v>100</v>
      </c>
      <c r="L435">
        <v>168</v>
      </c>
      <c r="M435" t="s">
        <v>482</v>
      </c>
    </row>
    <row r="436" spans="1:13" x14ac:dyDescent="0.4">
      <c r="A436" t="s">
        <v>662</v>
      </c>
      <c r="B436">
        <v>2</v>
      </c>
      <c r="C436">
        <v>1</v>
      </c>
      <c r="D436">
        <v>190</v>
      </c>
      <c r="E436">
        <v>11</v>
      </c>
      <c r="K436">
        <v>100</v>
      </c>
      <c r="L436">
        <v>168</v>
      </c>
      <c r="M436" t="s">
        <v>478</v>
      </c>
    </row>
    <row r="437" spans="1:13" x14ac:dyDescent="0.4">
      <c r="A437" t="s">
        <v>663</v>
      </c>
      <c r="B437">
        <v>3</v>
      </c>
      <c r="C437">
        <v>1</v>
      </c>
      <c r="D437">
        <v>190</v>
      </c>
      <c r="E437">
        <v>11</v>
      </c>
      <c r="K437">
        <v>100</v>
      </c>
      <c r="L437">
        <v>168</v>
      </c>
      <c r="M437" t="s">
        <v>479</v>
      </c>
    </row>
    <row r="438" spans="1:13" x14ac:dyDescent="0.4">
      <c r="A438" t="s">
        <v>664</v>
      </c>
      <c r="B438">
        <v>3.2</v>
      </c>
      <c r="C438">
        <v>1.85</v>
      </c>
      <c r="D438">
        <v>190</v>
      </c>
      <c r="E438">
        <v>11</v>
      </c>
      <c r="K438">
        <v>100</v>
      </c>
      <c r="L438">
        <v>168</v>
      </c>
      <c r="M438" t="s">
        <v>480</v>
      </c>
    </row>
    <row r="439" spans="1:13" x14ac:dyDescent="0.4">
      <c r="A439" t="s">
        <v>665</v>
      </c>
      <c r="B439">
        <v>4</v>
      </c>
      <c r="C439">
        <v>3</v>
      </c>
      <c r="D439">
        <v>190</v>
      </c>
      <c r="E439">
        <v>11</v>
      </c>
      <c r="K439">
        <v>100</v>
      </c>
      <c r="L439">
        <v>168</v>
      </c>
      <c r="M439" t="s">
        <v>481</v>
      </c>
    </row>
    <row r="440" spans="1:13" x14ac:dyDescent="0.4">
      <c r="A440" t="s">
        <v>666</v>
      </c>
      <c r="B440">
        <v>4.9000000000000004</v>
      </c>
      <c r="C440">
        <v>3.75</v>
      </c>
      <c r="D440">
        <v>190</v>
      </c>
      <c r="E440">
        <v>11</v>
      </c>
      <c r="K440">
        <v>100</v>
      </c>
      <c r="L440">
        <v>168</v>
      </c>
      <c r="M440" t="s">
        <v>481</v>
      </c>
    </row>
    <row r="441" spans="1:13" x14ac:dyDescent="0.4">
      <c r="A441" t="s">
        <v>667</v>
      </c>
      <c r="B441">
        <v>5.2</v>
      </c>
      <c r="C441">
        <v>2.2999999999999998</v>
      </c>
      <c r="D441">
        <v>190</v>
      </c>
      <c r="E441">
        <v>11</v>
      </c>
      <c r="K441">
        <v>100</v>
      </c>
      <c r="L441">
        <v>168</v>
      </c>
      <c r="M441" t="s">
        <v>482</v>
      </c>
    </row>
    <row r="442" spans="1:13" x14ac:dyDescent="0.4">
      <c r="A442" t="s">
        <v>668</v>
      </c>
      <c r="B442">
        <v>6.05</v>
      </c>
      <c r="C442">
        <v>5.7</v>
      </c>
      <c r="D442">
        <v>190</v>
      </c>
      <c r="E442">
        <v>11</v>
      </c>
      <c r="K442">
        <v>100</v>
      </c>
      <c r="L442">
        <v>168</v>
      </c>
      <c r="M442" t="s">
        <v>483</v>
      </c>
    </row>
    <row r="443" spans="1:13" x14ac:dyDescent="0.4">
      <c r="A443" t="s">
        <v>669</v>
      </c>
      <c r="B443">
        <v>7.7</v>
      </c>
      <c r="C443">
        <v>4.4000000000000004</v>
      </c>
      <c r="D443">
        <v>190</v>
      </c>
      <c r="E443">
        <v>11</v>
      </c>
      <c r="K443">
        <v>100</v>
      </c>
      <c r="L443">
        <v>168</v>
      </c>
      <c r="M443" t="s">
        <v>481</v>
      </c>
    </row>
    <row r="444" spans="1:13" x14ac:dyDescent="0.4">
      <c r="A444" t="s">
        <v>670</v>
      </c>
      <c r="B444">
        <v>8</v>
      </c>
      <c r="C444">
        <v>3.9</v>
      </c>
      <c r="D444">
        <v>190</v>
      </c>
      <c r="E444">
        <v>11</v>
      </c>
      <c r="K444">
        <v>100</v>
      </c>
      <c r="L444">
        <v>168</v>
      </c>
      <c r="M444" t="s">
        <v>482</v>
      </c>
    </row>
    <row r="445" spans="1:13" x14ac:dyDescent="0.4">
      <c r="A445" t="s">
        <v>671</v>
      </c>
      <c r="B445">
        <v>1.5</v>
      </c>
      <c r="C445">
        <v>1.5</v>
      </c>
      <c r="D445">
        <v>190</v>
      </c>
      <c r="E445">
        <v>11</v>
      </c>
      <c r="K445">
        <v>190</v>
      </c>
      <c r="L445">
        <v>504</v>
      </c>
      <c r="M445" t="s">
        <v>484</v>
      </c>
    </row>
    <row r="446" spans="1:13" x14ac:dyDescent="0.4">
      <c r="A446" t="s">
        <v>672</v>
      </c>
      <c r="B446">
        <v>1.7</v>
      </c>
      <c r="C446">
        <v>2.1</v>
      </c>
      <c r="D446">
        <v>190</v>
      </c>
      <c r="E446">
        <v>11</v>
      </c>
      <c r="K446">
        <v>190</v>
      </c>
      <c r="L446">
        <v>504</v>
      </c>
      <c r="M446" t="s">
        <v>484</v>
      </c>
    </row>
    <row r="447" spans="1:13" x14ac:dyDescent="0.4">
      <c r="A447" t="s">
        <v>673</v>
      </c>
      <c r="B447">
        <v>2.6</v>
      </c>
      <c r="C447">
        <v>1.75</v>
      </c>
      <c r="D447">
        <v>190</v>
      </c>
      <c r="E447">
        <v>11</v>
      </c>
      <c r="K447">
        <v>190</v>
      </c>
      <c r="L447">
        <v>504</v>
      </c>
      <c r="M447" t="s">
        <v>484</v>
      </c>
    </row>
    <row r="448" spans="1:13" x14ac:dyDescent="0.4">
      <c r="A448" t="s">
        <v>674</v>
      </c>
      <c r="B448">
        <v>4</v>
      </c>
      <c r="C448">
        <v>0.6</v>
      </c>
      <c r="D448">
        <v>190</v>
      </c>
      <c r="E448">
        <v>11</v>
      </c>
      <c r="K448">
        <v>190</v>
      </c>
      <c r="L448">
        <v>504</v>
      </c>
      <c r="M448" t="s">
        <v>485</v>
      </c>
    </row>
    <row r="449" spans="1:13" x14ac:dyDescent="0.4">
      <c r="A449" t="s">
        <v>675</v>
      </c>
      <c r="B449">
        <v>4</v>
      </c>
      <c r="C449">
        <v>2.9</v>
      </c>
      <c r="D449">
        <v>190</v>
      </c>
      <c r="E449">
        <v>11</v>
      </c>
      <c r="K449">
        <v>190</v>
      </c>
      <c r="L449">
        <v>504</v>
      </c>
      <c r="M449" t="s">
        <v>484</v>
      </c>
    </row>
    <row r="450" spans="1:13" x14ac:dyDescent="0.4">
      <c r="A450" t="s">
        <v>676</v>
      </c>
      <c r="B450">
        <v>4.0999999999999996</v>
      </c>
      <c r="C450">
        <v>0.35</v>
      </c>
      <c r="D450">
        <v>190</v>
      </c>
      <c r="E450">
        <v>11</v>
      </c>
      <c r="K450">
        <v>190</v>
      </c>
      <c r="L450">
        <v>504</v>
      </c>
      <c r="M450" t="s">
        <v>485</v>
      </c>
    </row>
    <row r="451" spans="1:13" x14ac:dyDescent="0.4">
      <c r="A451" t="s">
        <v>677</v>
      </c>
      <c r="B451">
        <v>5</v>
      </c>
      <c r="C451">
        <v>1</v>
      </c>
      <c r="D451">
        <v>190</v>
      </c>
      <c r="E451">
        <v>11</v>
      </c>
      <c r="K451">
        <v>190</v>
      </c>
      <c r="L451">
        <v>504</v>
      </c>
      <c r="M451" t="s">
        <v>485</v>
      </c>
    </row>
    <row r="452" spans="1:13" x14ac:dyDescent="0.4">
      <c r="A452" t="s">
        <v>678</v>
      </c>
      <c r="B452">
        <v>5.4</v>
      </c>
      <c r="C452">
        <v>0.375</v>
      </c>
      <c r="D452">
        <v>190</v>
      </c>
      <c r="E452">
        <v>11</v>
      </c>
      <c r="K452">
        <v>190</v>
      </c>
      <c r="L452">
        <v>504</v>
      </c>
      <c r="M452" t="s">
        <v>486</v>
      </c>
    </row>
    <row r="453" spans="1:13" x14ac:dyDescent="0.4">
      <c r="A453" t="s">
        <v>679</v>
      </c>
      <c r="B453">
        <v>6</v>
      </c>
      <c r="C453">
        <v>2</v>
      </c>
      <c r="D453">
        <v>190</v>
      </c>
      <c r="E453">
        <v>11</v>
      </c>
      <c r="K453">
        <v>190</v>
      </c>
      <c r="L453">
        <v>504</v>
      </c>
      <c r="M453" t="s">
        <v>485</v>
      </c>
    </row>
    <row r="454" spans="1:13" x14ac:dyDescent="0.4">
      <c r="A454" t="s">
        <v>680</v>
      </c>
      <c r="B454">
        <v>6.9</v>
      </c>
      <c r="C454">
        <v>3.45</v>
      </c>
      <c r="D454">
        <v>190</v>
      </c>
      <c r="E454">
        <v>11</v>
      </c>
      <c r="K454">
        <v>190</v>
      </c>
      <c r="L454">
        <v>504</v>
      </c>
      <c r="M454" t="s">
        <v>486</v>
      </c>
    </row>
    <row r="455" spans="1:13" x14ac:dyDescent="0.4">
      <c r="A455" t="s">
        <v>681</v>
      </c>
      <c r="B455">
        <v>7.8</v>
      </c>
      <c r="C455">
        <v>2.4449999999999998</v>
      </c>
      <c r="D455">
        <v>190</v>
      </c>
      <c r="E455">
        <v>11</v>
      </c>
      <c r="K455">
        <v>190</v>
      </c>
      <c r="L455">
        <v>504</v>
      </c>
      <c r="M455" t="s">
        <v>487</v>
      </c>
    </row>
    <row r="456" spans="1:13" x14ac:dyDescent="0.4">
      <c r="A456" t="s">
        <v>682</v>
      </c>
      <c r="B456">
        <v>8.1999999999999993</v>
      </c>
      <c r="C456">
        <v>5.25</v>
      </c>
      <c r="D456">
        <v>190</v>
      </c>
      <c r="E456">
        <v>11</v>
      </c>
      <c r="K456">
        <v>190</v>
      </c>
      <c r="L456">
        <v>504</v>
      </c>
      <c r="M456" t="s">
        <v>486</v>
      </c>
    </row>
    <row r="457" spans="1:13" x14ac:dyDescent="0.4">
      <c r="A457" t="s">
        <v>683</v>
      </c>
      <c r="B457">
        <v>9.5</v>
      </c>
      <c r="C457">
        <v>4.5</v>
      </c>
      <c r="D457">
        <v>190</v>
      </c>
      <c r="E457">
        <v>11</v>
      </c>
      <c r="K457">
        <v>190</v>
      </c>
      <c r="L457">
        <v>504</v>
      </c>
      <c r="M457" t="s">
        <v>488</v>
      </c>
    </row>
    <row r="458" spans="1:13" x14ac:dyDescent="0.4">
      <c r="A458" t="s">
        <v>684</v>
      </c>
      <c r="B458">
        <v>3.67</v>
      </c>
      <c r="C458">
        <v>1.83</v>
      </c>
      <c r="D458">
        <v>348</v>
      </c>
      <c r="E458">
        <v>11</v>
      </c>
      <c r="K458">
        <v>65</v>
      </c>
      <c r="L458">
        <v>168</v>
      </c>
      <c r="M458" t="s">
        <v>489</v>
      </c>
    </row>
    <row r="459" spans="1:13" x14ac:dyDescent="0.4">
      <c r="A459" t="s">
        <v>685</v>
      </c>
      <c r="B459">
        <v>3.85</v>
      </c>
      <c r="C459">
        <v>1.31</v>
      </c>
      <c r="D459">
        <v>348</v>
      </c>
      <c r="E459">
        <v>11</v>
      </c>
      <c r="K459">
        <v>65</v>
      </c>
      <c r="L459">
        <v>168</v>
      </c>
      <c r="M459" t="s">
        <v>489</v>
      </c>
    </row>
    <row r="460" spans="1:13" x14ac:dyDescent="0.4">
      <c r="A460" t="s">
        <v>686</v>
      </c>
      <c r="B460">
        <v>5.5</v>
      </c>
      <c r="C460">
        <v>1.83</v>
      </c>
      <c r="D460">
        <v>348</v>
      </c>
      <c r="E460">
        <v>11</v>
      </c>
      <c r="K460">
        <v>65</v>
      </c>
      <c r="L460">
        <v>168</v>
      </c>
      <c r="M460" t="s">
        <v>476</v>
      </c>
    </row>
    <row r="461" spans="1:13" x14ac:dyDescent="0.4">
      <c r="A461" t="s">
        <v>687</v>
      </c>
      <c r="B461">
        <v>7.33</v>
      </c>
      <c r="C461">
        <v>1.83</v>
      </c>
      <c r="D461">
        <v>348</v>
      </c>
      <c r="E461">
        <v>11</v>
      </c>
      <c r="K461">
        <v>65</v>
      </c>
      <c r="L461">
        <v>168</v>
      </c>
      <c r="M461" t="s">
        <v>476</v>
      </c>
    </row>
    <row r="462" spans="1:13" x14ac:dyDescent="0.4">
      <c r="A462" t="s">
        <v>688</v>
      </c>
      <c r="B462">
        <v>7.33</v>
      </c>
      <c r="C462">
        <v>3.12</v>
      </c>
      <c r="D462">
        <v>348</v>
      </c>
      <c r="E462">
        <v>11</v>
      </c>
      <c r="K462">
        <v>65</v>
      </c>
      <c r="L462">
        <v>168</v>
      </c>
      <c r="M462" t="s">
        <v>489</v>
      </c>
    </row>
    <row r="463" spans="1:13" x14ac:dyDescent="0.4">
      <c r="A463" t="s">
        <v>689</v>
      </c>
      <c r="B463">
        <v>2</v>
      </c>
      <c r="C463">
        <v>2</v>
      </c>
      <c r="D463">
        <v>95</v>
      </c>
      <c r="E463">
        <v>11</v>
      </c>
      <c r="K463">
        <v>65</v>
      </c>
      <c r="L463">
        <v>168</v>
      </c>
      <c r="M463" t="s">
        <v>483</v>
      </c>
    </row>
    <row r="464" spans="1:13" x14ac:dyDescent="0.4">
      <c r="A464" t="s">
        <v>690</v>
      </c>
      <c r="B464">
        <v>4</v>
      </c>
      <c r="C464">
        <v>1</v>
      </c>
      <c r="D464">
        <v>190</v>
      </c>
      <c r="E464">
        <v>11</v>
      </c>
      <c r="K464">
        <v>65</v>
      </c>
      <c r="L464">
        <v>12</v>
      </c>
      <c r="M464" t="s">
        <v>476</v>
      </c>
    </row>
    <row r="465" spans="1:13" x14ac:dyDescent="0.4">
      <c r="A465" t="s">
        <v>691</v>
      </c>
      <c r="B465">
        <v>3</v>
      </c>
      <c r="C465">
        <v>1</v>
      </c>
      <c r="D465">
        <v>190</v>
      </c>
      <c r="E465">
        <v>11</v>
      </c>
      <c r="K465">
        <v>95</v>
      </c>
      <c r="L465">
        <v>24</v>
      </c>
      <c r="M465" t="s">
        <v>476</v>
      </c>
    </row>
    <row r="466" spans="1:13" x14ac:dyDescent="0.4">
      <c r="A466" t="s">
        <v>692</v>
      </c>
      <c r="B466">
        <v>3</v>
      </c>
      <c r="C466">
        <v>1</v>
      </c>
      <c r="D466">
        <v>190</v>
      </c>
      <c r="E466">
        <v>11</v>
      </c>
      <c r="K466">
        <v>95</v>
      </c>
      <c r="L466">
        <v>48</v>
      </c>
      <c r="M466" t="s">
        <v>490</v>
      </c>
    </row>
    <row r="467" spans="1:13" x14ac:dyDescent="0.4">
      <c r="A467" t="s">
        <v>693</v>
      </c>
      <c r="B467">
        <v>3</v>
      </c>
      <c r="C467">
        <v>1</v>
      </c>
      <c r="D467">
        <v>190</v>
      </c>
      <c r="E467">
        <v>11</v>
      </c>
      <c r="K467">
        <v>95</v>
      </c>
      <c r="L467">
        <v>72</v>
      </c>
      <c r="M467" t="s">
        <v>491</v>
      </c>
    </row>
    <row r="468" spans="1:13" x14ac:dyDescent="0.4">
      <c r="A468" t="s">
        <v>694</v>
      </c>
      <c r="B468">
        <v>3</v>
      </c>
      <c r="C468">
        <v>1</v>
      </c>
      <c r="D468">
        <v>190</v>
      </c>
      <c r="E468">
        <v>11</v>
      </c>
      <c r="K468">
        <v>95</v>
      </c>
      <c r="L468">
        <v>168</v>
      </c>
      <c r="M468" t="s">
        <v>492</v>
      </c>
    </row>
    <row r="469" spans="1:13" x14ac:dyDescent="0.4">
      <c r="A469" t="s">
        <v>695</v>
      </c>
      <c r="B469">
        <v>3</v>
      </c>
      <c r="C469">
        <v>1</v>
      </c>
      <c r="D469">
        <v>190</v>
      </c>
      <c r="E469">
        <v>11</v>
      </c>
      <c r="K469">
        <v>120</v>
      </c>
      <c r="L469">
        <v>168</v>
      </c>
      <c r="M469" t="s">
        <v>493</v>
      </c>
    </row>
    <row r="470" spans="1:13" x14ac:dyDescent="0.4">
      <c r="A470" t="s">
        <v>696</v>
      </c>
      <c r="B470">
        <v>2.5</v>
      </c>
      <c r="C470">
        <v>1</v>
      </c>
      <c r="D470">
        <v>1093</v>
      </c>
      <c r="F470">
        <v>27.2</v>
      </c>
      <c r="K470">
        <v>120</v>
      </c>
      <c r="L470">
        <v>168</v>
      </c>
      <c r="M470" t="s">
        <v>494</v>
      </c>
    </row>
    <row r="471" spans="1:13" x14ac:dyDescent="0.4">
      <c r="A471" t="s">
        <v>697</v>
      </c>
      <c r="B471">
        <v>5.4</v>
      </c>
      <c r="C471">
        <v>1</v>
      </c>
      <c r="D471">
        <v>1093</v>
      </c>
      <c r="F471">
        <v>27.2</v>
      </c>
      <c r="K471">
        <v>120</v>
      </c>
      <c r="L471">
        <v>168</v>
      </c>
      <c r="M471" t="s">
        <v>495</v>
      </c>
    </row>
    <row r="472" spans="1:13" x14ac:dyDescent="0.4">
      <c r="A472" t="s">
        <v>698</v>
      </c>
      <c r="B472">
        <v>10</v>
      </c>
      <c r="C472">
        <v>1</v>
      </c>
      <c r="D472">
        <v>1093</v>
      </c>
      <c r="F472">
        <v>27.2</v>
      </c>
      <c r="K472">
        <v>120</v>
      </c>
      <c r="L472">
        <v>168</v>
      </c>
      <c r="M472" t="s">
        <v>496</v>
      </c>
    </row>
    <row r="473" spans="1:13" x14ac:dyDescent="0.4">
      <c r="A473" t="s">
        <v>699</v>
      </c>
      <c r="B473">
        <v>15</v>
      </c>
      <c r="C473">
        <v>1</v>
      </c>
      <c r="D473">
        <v>1093</v>
      </c>
      <c r="F473">
        <v>27.2</v>
      </c>
      <c r="K473">
        <v>120</v>
      </c>
      <c r="L473">
        <v>168</v>
      </c>
      <c r="M473" t="s">
        <v>496</v>
      </c>
    </row>
    <row r="474" spans="1:13" x14ac:dyDescent="0.4">
      <c r="A474" t="s">
        <v>700</v>
      </c>
      <c r="B474">
        <v>20</v>
      </c>
      <c r="C474">
        <v>1</v>
      </c>
      <c r="D474">
        <v>1093</v>
      </c>
      <c r="F474">
        <v>27.2</v>
      </c>
      <c r="K474">
        <v>120</v>
      </c>
      <c r="L474">
        <v>168</v>
      </c>
      <c r="M474" t="s">
        <v>496</v>
      </c>
    </row>
    <row r="475" spans="1:13" x14ac:dyDescent="0.4">
      <c r="A475" t="s">
        <v>701</v>
      </c>
      <c r="B475">
        <v>1</v>
      </c>
      <c r="C475">
        <v>1</v>
      </c>
      <c r="D475">
        <v>1093</v>
      </c>
      <c r="F475">
        <v>27.2</v>
      </c>
      <c r="K475">
        <v>120</v>
      </c>
      <c r="L475">
        <v>168</v>
      </c>
      <c r="M475" t="s">
        <v>494</v>
      </c>
    </row>
    <row r="476" spans="1:13" x14ac:dyDescent="0.4">
      <c r="A476" t="s">
        <v>702</v>
      </c>
      <c r="B476">
        <v>1.7</v>
      </c>
      <c r="C476">
        <v>2.6</v>
      </c>
      <c r="D476">
        <v>1093</v>
      </c>
      <c r="F476">
        <v>27.2</v>
      </c>
      <c r="K476">
        <v>120</v>
      </c>
      <c r="L476">
        <v>168</v>
      </c>
      <c r="M476" t="s">
        <v>494</v>
      </c>
    </row>
    <row r="477" spans="1:13" x14ac:dyDescent="0.4">
      <c r="A477" t="s">
        <v>703</v>
      </c>
      <c r="B477">
        <v>24.5</v>
      </c>
      <c r="C477">
        <v>1.4</v>
      </c>
      <c r="D477">
        <v>1093</v>
      </c>
      <c r="F477">
        <v>27.2</v>
      </c>
      <c r="K477">
        <v>120</v>
      </c>
      <c r="L477">
        <v>168</v>
      </c>
      <c r="M477" t="s">
        <v>496</v>
      </c>
    </row>
    <row r="478" spans="1:13" x14ac:dyDescent="0.4">
      <c r="A478" t="s">
        <v>704</v>
      </c>
      <c r="B478">
        <v>7.4</v>
      </c>
      <c r="C478">
        <v>1.1000000000000001</v>
      </c>
      <c r="D478">
        <v>1093</v>
      </c>
      <c r="F478">
        <v>27.2</v>
      </c>
      <c r="K478">
        <v>120</v>
      </c>
      <c r="L478">
        <v>168</v>
      </c>
      <c r="M478" t="s">
        <v>495</v>
      </c>
    </row>
    <row r="479" spans="1:13" x14ac:dyDescent="0.4">
      <c r="A479" t="s">
        <v>705</v>
      </c>
      <c r="B479">
        <v>8.1</v>
      </c>
      <c r="C479">
        <v>2.6</v>
      </c>
      <c r="D479">
        <v>1093</v>
      </c>
      <c r="F479">
        <v>27.2</v>
      </c>
      <c r="K479">
        <v>120</v>
      </c>
      <c r="L479">
        <v>168</v>
      </c>
      <c r="M479" t="s">
        <v>495</v>
      </c>
    </row>
    <row r="480" spans="1:13" x14ac:dyDescent="0.4">
      <c r="A480" t="s">
        <v>706</v>
      </c>
      <c r="B480">
        <v>4.4000000000000004</v>
      </c>
      <c r="C480">
        <v>1</v>
      </c>
      <c r="D480">
        <v>1093</v>
      </c>
      <c r="F480">
        <v>27.2</v>
      </c>
      <c r="K480">
        <v>120</v>
      </c>
      <c r="L480">
        <v>168</v>
      </c>
      <c r="M480" t="s">
        <v>495</v>
      </c>
    </row>
    <row r="481" spans="1:13" x14ac:dyDescent="0.4">
      <c r="A481" t="s">
        <v>707</v>
      </c>
      <c r="B481">
        <v>4.9000000000000004</v>
      </c>
      <c r="C481">
        <v>2.8</v>
      </c>
      <c r="D481">
        <v>1093</v>
      </c>
      <c r="F481">
        <v>27.2</v>
      </c>
      <c r="K481">
        <v>120</v>
      </c>
      <c r="L481">
        <v>168</v>
      </c>
      <c r="M481" t="s">
        <v>495</v>
      </c>
    </row>
    <row r="482" spans="1:13" x14ac:dyDescent="0.4">
      <c r="A482" t="s">
        <v>708</v>
      </c>
      <c r="B482">
        <v>14.1</v>
      </c>
      <c r="C482">
        <v>3.6</v>
      </c>
      <c r="D482">
        <v>1093</v>
      </c>
      <c r="F482">
        <v>27.2</v>
      </c>
      <c r="K482">
        <v>120</v>
      </c>
      <c r="L482">
        <v>168</v>
      </c>
      <c r="M482" t="s">
        <v>497</v>
      </c>
    </row>
    <row r="483" spans="1:13" x14ac:dyDescent="0.4">
      <c r="A483" t="s">
        <v>709</v>
      </c>
      <c r="B483">
        <v>20.7</v>
      </c>
      <c r="C483">
        <v>5.6</v>
      </c>
      <c r="D483">
        <v>1093</v>
      </c>
      <c r="F483">
        <v>27.2</v>
      </c>
      <c r="K483">
        <v>120</v>
      </c>
      <c r="L483">
        <v>168</v>
      </c>
      <c r="M483" t="s">
        <v>497</v>
      </c>
    </row>
    <row r="484" spans="1:13" x14ac:dyDescent="0.4">
      <c r="A484" t="s">
        <v>710</v>
      </c>
      <c r="B484">
        <v>37.5</v>
      </c>
      <c r="C484">
        <v>4.4000000000000004</v>
      </c>
      <c r="D484">
        <v>1093</v>
      </c>
      <c r="F484">
        <v>27.2</v>
      </c>
      <c r="K484">
        <v>180</v>
      </c>
      <c r="L484">
        <v>72</v>
      </c>
      <c r="M484" t="s">
        <v>498</v>
      </c>
    </row>
    <row r="485" spans="1:13" x14ac:dyDescent="0.4">
      <c r="A485" t="s">
        <v>711</v>
      </c>
      <c r="B485">
        <v>2.8</v>
      </c>
      <c r="C485">
        <v>0.5</v>
      </c>
      <c r="D485">
        <v>1093</v>
      </c>
      <c r="F485">
        <v>27.2</v>
      </c>
      <c r="K485">
        <v>180</v>
      </c>
      <c r="L485">
        <v>72</v>
      </c>
      <c r="M485" t="s">
        <v>499</v>
      </c>
    </row>
    <row r="486" spans="1:13" x14ac:dyDescent="0.4">
      <c r="A486" t="s">
        <v>712</v>
      </c>
      <c r="B486">
        <v>1.1000000000000001</v>
      </c>
      <c r="C486">
        <v>2.4</v>
      </c>
      <c r="D486">
        <v>1093</v>
      </c>
      <c r="F486">
        <v>27.2</v>
      </c>
      <c r="K486">
        <v>180</v>
      </c>
      <c r="L486">
        <v>72</v>
      </c>
      <c r="M486" t="s">
        <v>499</v>
      </c>
    </row>
    <row r="487" spans="1:13" x14ac:dyDescent="0.4">
      <c r="A487" t="s">
        <v>713</v>
      </c>
      <c r="B487">
        <v>49.5</v>
      </c>
      <c r="C487">
        <v>2.9</v>
      </c>
      <c r="D487">
        <v>1093</v>
      </c>
      <c r="F487">
        <v>27.2</v>
      </c>
      <c r="K487">
        <v>180</v>
      </c>
      <c r="L487">
        <v>72</v>
      </c>
      <c r="M487" t="s">
        <v>498</v>
      </c>
    </row>
    <row r="488" spans="1:13" x14ac:dyDescent="0.4">
      <c r="A488" t="s">
        <v>714</v>
      </c>
      <c r="B488">
        <v>51.1</v>
      </c>
      <c r="C488">
        <v>8.6</v>
      </c>
      <c r="D488">
        <v>1093</v>
      </c>
      <c r="F488">
        <v>27.2</v>
      </c>
      <c r="K488">
        <v>180</v>
      </c>
      <c r="L488">
        <v>72</v>
      </c>
      <c r="M488" t="s">
        <v>500</v>
      </c>
    </row>
    <row r="489" spans="1:13" x14ac:dyDescent="0.4">
      <c r="A489" t="s">
        <v>715</v>
      </c>
      <c r="B489">
        <v>35</v>
      </c>
      <c r="C489">
        <v>7.8</v>
      </c>
      <c r="D489">
        <v>1093</v>
      </c>
      <c r="F489">
        <v>27.2</v>
      </c>
      <c r="K489">
        <v>180</v>
      </c>
      <c r="L489">
        <v>72</v>
      </c>
      <c r="M489" t="s">
        <v>500</v>
      </c>
    </row>
    <row r="490" spans="1:13" x14ac:dyDescent="0.4">
      <c r="A490" t="s">
        <v>716</v>
      </c>
      <c r="B490">
        <v>15.2</v>
      </c>
      <c r="C490">
        <v>5</v>
      </c>
      <c r="D490">
        <v>1093</v>
      </c>
      <c r="F490">
        <v>27.2</v>
      </c>
      <c r="K490">
        <v>180</v>
      </c>
      <c r="L490">
        <v>72</v>
      </c>
      <c r="M490" t="s">
        <v>501</v>
      </c>
    </row>
    <row r="491" spans="1:13" x14ac:dyDescent="0.4">
      <c r="A491" t="s">
        <v>717</v>
      </c>
      <c r="B491">
        <v>31.3</v>
      </c>
      <c r="C491">
        <v>12</v>
      </c>
      <c r="D491">
        <v>1093</v>
      </c>
      <c r="F491">
        <v>27.2</v>
      </c>
      <c r="K491">
        <v>180</v>
      </c>
      <c r="L491">
        <v>72</v>
      </c>
      <c r="M491" t="s">
        <v>494</v>
      </c>
    </row>
    <row r="492" spans="1:13" x14ac:dyDescent="0.4">
      <c r="A492" t="s">
        <v>718</v>
      </c>
      <c r="B492">
        <v>44.4</v>
      </c>
      <c r="C492">
        <v>11.9</v>
      </c>
      <c r="D492">
        <v>1093</v>
      </c>
      <c r="F492">
        <v>27.2</v>
      </c>
      <c r="K492">
        <v>180</v>
      </c>
      <c r="L492">
        <v>72</v>
      </c>
      <c r="M492" t="s">
        <v>499</v>
      </c>
    </row>
    <row r="493" spans="1:13" x14ac:dyDescent="0.4">
      <c r="A493" t="s">
        <v>719</v>
      </c>
      <c r="B493">
        <v>15.4</v>
      </c>
      <c r="C493">
        <v>0.7</v>
      </c>
      <c r="D493">
        <v>1093</v>
      </c>
      <c r="F493">
        <v>27.2</v>
      </c>
      <c r="K493">
        <v>180</v>
      </c>
      <c r="L493">
        <v>72</v>
      </c>
      <c r="M493" t="s">
        <v>498</v>
      </c>
    </row>
    <row r="494" spans="1:13" x14ac:dyDescent="0.4">
      <c r="A494" t="s">
        <v>720</v>
      </c>
      <c r="B494">
        <v>17.8</v>
      </c>
      <c r="C494">
        <v>0.9</v>
      </c>
      <c r="D494">
        <v>1093</v>
      </c>
      <c r="F494">
        <v>27.2</v>
      </c>
      <c r="K494">
        <v>180</v>
      </c>
      <c r="L494">
        <v>72</v>
      </c>
      <c r="M494" t="s">
        <v>498</v>
      </c>
    </row>
    <row r="495" spans="1:13" x14ac:dyDescent="0.4">
      <c r="A495" t="s">
        <v>721</v>
      </c>
      <c r="B495">
        <v>18</v>
      </c>
      <c r="C495">
        <v>1</v>
      </c>
      <c r="D495">
        <v>18</v>
      </c>
      <c r="E495">
        <v>0.2</v>
      </c>
      <c r="K495">
        <f>438-273</f>
        <v>165</v>
      </c>
      <c r="L495">
        <v>48</v>
      </c>
      <c r="M495" t="s">
        <v>576</v>
      </c>
    </row>
    <row r="496" spans="1:13" x14ac:dyDescent="0.4">
      <c r="A496" t="s">
        <v>722</v>
      </c>
      <c r="B496">
        <v>0.4</v>
      </c>
      <c r="C496">
        <v>2.5999999999999999E-2</v>
      </c>
      <c r="D496">
        <v>8</v>
      </c>
      <c r="F496">
        <v>1</v>
      </c>
      <c r="K496">
        <v>170</v>
      </c>
      <c r="L496">
        <v>48</v>
      </c>
      <c r="M496" t="s">
        <v>498</v>
      </c>
    </row>
    <row r="497" spans="1:17" x14ac:dyDescent="0.4">
      <c r="A497" t="s">
        <v>723</v>
      </c>
      <c r="B497">
        <v>0.5</v>
      </c>
      <c r="C497">
        <v>2.5999999999999999E-2</v>
      </c>
      <c r="D497">
        <v>8</v>
      </c>
      <c r="F497">
        <v>1</v>
      </c>
      <c r="K497">
        <v>170</v>
      </c>
      <c r="L497">
        <v>48</v>
      </c>
      <c r="M497" t="s">
        <v>498</v>
      </c>
    </row>
    <row r="498" spans="1:17" x14ac:dyDescent="0.4">
      <c r="A498" t="s">
        <v>724</v>
      </c>
      <c r="B498">
        <v>0.6</v>
      </c>
      <c r="C498">
        <v>2.5999999999999999E-2</v>
      </c>
      <c r="D498">
        <v>8</v>
      </c>
      <c r="F498">
        <v>1</v>
      </c>
      <c r="K498">
        <v>170</v>
      </c>
      <c r="L498">
        <v>48</v>
      </c>
      <c r="M498" t="s">
        <v>498</v>
      </c>
    </row>
    <row r="499" spans="1:17" x14ac:dyDescent="0.4">
      <c r="A499" t="s">
        <v>727</v>
      </c>
      <c r="B499">
        <v>4</v>
      </c>
      <c r="C499">
        <v>1</v>
      </c>
      <c r="D499">
        <v>190</v>
      </c>
      <c r="E499">
        <v>11</v>
      </c>
      <c r="H499">
        <f t="shared" ref="H499:H531" si="11">E499+F499+G499</f>
        <v>11</v>
      </c>
      <c r="K499">
        <v>65</v>
      </c>
      <c r="L499">
        <v>0</v>
      </c>
      <c r="M499" t="s">
        <v>726</v>
      </c>
      <c r="O499" t="s">
        <v>38</v>
      </c>
      <c r="P499" t="s">
        <v>894</v>
      </c>
      <c r="Q499" t="s">
        <v>895</v>
      </c>
    </row>
    <row r="500" spans="1:17" x14ac:dyDescent="0.4">
      <c r="A500" t="s">
        <v>728</v>
      </c>
      <c r="B500">
        <v>57</v>
      </c>
      <c r="C500">
        <v>1.8</v>
      </c>
      <c r="D500">
        <v>1093</v>
      </c>
      <c r="E500">
        <v>27.2</v>
      </c>
      <c r="H500">
        <f t="shared" si="11"/>
        <v>27.2</v>
      </c>
      <c r="K500">
        <v>85</v>
      </c>
      <c r="L500">
        <f>21*24</f>
        <v>504</v>
      </c>
      <c r="M500" t="s">
        <v>726</v>
      </c>
      <c r="O500" t="s">
        <v>896</v>
      </c>
      <c r="P500" t="s">
        <v>897</v>
      </c>
      <c r="Q500" t="s">
        <v>898</v>
      </c>
    </row>
    <row r="501" spans="1:17" x14ac:dyDescent="0.4">
      <c r="A501" t="s">
        <v>729</v>
      </c>
      <c r="B501">
        <v>49.5</v>
      </c>
      <c r="C501">
        <v>2.9</v>
      </c>
      <c r="D501">
        <v>1093</v>
      </c>
      <c r="F501">
        <v>27.2</v>
      </c>
      <c r="H501">
        <f t="shared" si="11"/>
        <v>27.2</v>
      </c>
      <c r="K501">
        <v>120</v>
      </c>
      <c r="L501">
        <f>7*24</f>
        <v>168</v>
      </c>
      <c r="M501" t="s">
        <v>726</v>
      </c>
    </row>
    <row r="502" spans="1:17" x14ac:dyDescent="0.4">
      <c r="A502" t="s">
        <v>730</v>
      </c>
      <c r="B502">
        <v>4</v>
      </c>
      <c r="C502">
        <v>1</v>
      </c>
      <c r="D502">
        <v>160</v>
      </c>
      <c r="F502">
        <v>32</v>
      </c>
      <c r="H502">
        <f t="shared" si="11"/>
        <v>32</v>
      </c>
      <c r="K502">
        <v>100</v>
      </c>
      <c r="L502">
        <f>1/6</f>
        <v>0.16666666666666666</v>
      </c>
      <c r="M502" t="s">
        <v>726</v>
      </c>
      <c r="O502" t="s">
        <v>197</v>
      </c>
      <c r="P502" t="s">
        <v>910</v>
      </c>
      <c r="Q502" t="s">
        <v>911</v>
      </c>
    </row>
    <row r="503" spans="1:17" x14ac:dyDescent="0.4">
      <c r="A503" t="s">
        <v>731</v>
      </c>
      <c r="B503">
        <v>4</v>
      </c>
      <c r="C503">
        <v>1</v>
      </c>
      <c r="D503">
        <v>160</v>
      </c>
      <c r="F503">
        <v>32</v>
      </c>
      <c r="H503">
        <f t="shared" si="11"/>
        <v>32</v>
      </c>
      <c r="K503">
        <v>100</v>
      </c>
      <c r="L503">
        <v>1.5</v>
      </c>
      <c r="M503" t="s">
        <v>726</v>
      </c>
    </row>
    <row r="504" spans="1:17" x14ac:dyDescent="0.4">
      <c r="A504" t="s">
        <v>732</v>
      </c>
      <c r="B504">
        <v>15</v>
      </c>
      <c r="C504">
        <v>1.25</v>
      </c>
      <c r="D504">
        <v>200</v>
      </c>
      <c r="E504">
        <v>10</v>
      </c>
      <c r="H504">
        <f t="shared" si="11"/>
        <v>10</v>
      </c>
      <c r="K504">
        <v>120</v>
      </c>
      <c r="L504">
        <v>1</v>
      </c>
      <c r="M504" t="s">
        <v>726</v>
      </c>
      <c r="O504" t="s">
        <v>901</v>
      </c>
      <c r="P504" t="s">
        <v>902</v>
      </c>
      <c r="Q504" t="s">
        <v>903</v>
      </c>
    </row>
    <row r="505" spans="1:17" x14ac:dyDescent="0.4">
      <c r="A505" t="s">
        <v>733</v>
      </c>
      <c r="B505">
        <v>15</v>
      </c>
      <c r="C505">
        <v>1.25</v>
      </c>
      <c r="D505">
        <v>200</v>
      </c>
      <c r="E505">
        <v>10</v>
      </c>
      <c r="H505">
        <f t="shared" si="11"/>
        <v>10</v>
      </c>
      <c r="K505">
        <v>120</v>
      </c>
      <c r="L505">
        <v>2</v>
      </c>
      <c r="M505" t="s">
        <v>726</v>
      </c>
    </row>
    <row r="506" spans="1:17" x14ac:dyDescent="0.4">
      <c r="A506" t="s">
        <v>734</v>
      </c>
      <c r="B506">
        <v>16</v>
      </c>
      <c r="C506">
        <v>1.25</v>
      </c>
      <c r="D506">
        <v>200</v>
      </c>
      <c r="E506">
        <v>10</v>
      </c>
      <c r="H506">
        <f t="shared" si="11"/>
        <v>10</v>
      </c>
      <c r="K506">
        <v>100</v>
      </c>
      <c r="L506">
        <v>3</v>
      </c>
      <c r="M506" t="s">
        <v>726</v>
      </c>
    </row>
    <row r="507" spans="1:17" x14ac:dyDescent="0.4">
      <c r="A507" t="s">
        <v>735</v>
      </c>
      <c r="B507">
        <v>17</v>
      </c>
      <c r="C507">
        <v>1.25</v>
      </c>
      <c r="D507">
        <v>200</v>
      </c>
      <c r="E507">
        <v>10</v>
      </c>
      <c r="H507">
        <f t="shared" si="11"/>
        <v>10</v>
      </c>
      <c r="K507">
        <v>100</v>
      </c>
      <c r="L507">
        <v>3</v>
      </c>
      <c r="M507" t="s">
        <v>726</v>
      </c>
    </row>
    <row r="508" spans="1:17" x14ac:dyDescent="0.4">
      <c r="A508" t="s">
        <v>736</v>
      </c>
      <c r="B508">
        <v>17</v>
      </c>
      <c r="C508">
        <v>1.25</v>
      </c>
      <c r="D508">
        <v>200</v>
      </c>
      <c r="E508">
        <v>10</v>
      </c>
      <c r="H508">
        <f t="shared" si="11"/>
        <v>10</v>
      </c>
      <c r="K508">
        <v>100</v>
      </c>
      <c r="L508">
        <v>5</v>
      </c>
      <c r="M508" t="s">
        <v>726</v>
      </c>
    </row>
    <row r="509" spans="1:17" x14ac:dyDescent="0.4">
      <c r="A509" t="s">
        <v>737</v>
      </c>
      <c r="B509">
        <v>15</v>
      </c>
      <c r="C509">
        <f>2.25/2</f>
        <v>1.125</v>
      </c>
      <c r="D509">
        <v>200</v>
      </c>
      <c r="E509">
        <v>10</v>
      </c>
      <c r="H509">
        <f t="shared" si="11"/>
        <v>10</v>
      </c>
      <c r="K509">
        <v>100</v>
      </c>
      <c r="L509">
        <v>3</v>
      </c>
      <c r="M509" t="s">
        <v>726</v>
      </c>
    </row>
    <row r="510" spans="1:17" x14ac:dyDescent="0.4">
      <c r="A510" t="s">
        <v>738</v>
      </c>
      <c r="B510">
        <v>16</v>
      </c>
      <c r="C510">
        <v>1.2</v>
      </c>
      <c r="D510">
        <v>200</v>
      </c>
      <c r="E510">
        <v>10</v>
      </c>
      <c r="H510">
        <f t="shared" si="11"/>
        <v>10</v>
      </c>
      <c r="K510">
        <v>100</v>
      </c>
      <c r="L510">
        <v>3</v>
      </c>
      <c r="M510" t="s">
        <v>726</v>
      </c>
    </row>
    <row r="511" spans="1:17" x14ac:dyDescent="0.4">
      <c r="A511" t="s">
        <v>739</v>
      </c>
      <c r="B511">
        <v>20</v>
      </c>
      <c r="C511">
        <v>1</v>
      </c>
      <c r="D511">
        <v>400</v>
      </c>
      <c r="E511">
        <v>5</v>
      </c>
      <c r="H511">
        <f t="shared" si="11"/>
        <v>5</v>
      </c>
      <c r="K511">
        <v>165</v>
      </c>
      <c r="L511">
        <v>46</v>
      </c>
      <c r="M511" t="s">
        <v>726</v>
      </c>
      <c r="O511" t="s">
        <v>240</v>
      </c>
      <c r="P511" t="s">
        <v>912</v>
      </c>
      <c r="Q511" t="s">
        <v>913</v>
      </c>
    </row>
    <row r="512" spans="1:17" x14ac:dyDescent="0.4">
      <c r="A512" t="s">
        <v>740</v>
      </c>
      <c r="B512">
        <v>20</v>
      </c>
      <c r="C512">
        <v>1</v>
      </c>
      <c r="D512">
        <v>400</v>
      </c>
      <c r="E512">
        <v>5</v>
      </c>
      <c r="H512">
        <f t="shared" si="11"/>
        <v>5</v>
      </c>
      <c r="K512">
        <v>165</v>
      </c>
      <c r="L512">
        <v>48</v>
      </c>
      <c r="M512" t="s">
        <v>726</v>
      </c>
    </row>
    <row r="513" spans="1:17" x14ac:dyDescent="0.4">
      <c r="A513" t="s">
        <v>741</v>
      </c>
      <c r="B513">
        <v>20</v>
      </c>
      <c r="C513">
        <v>0.5</v>
      </c>
      <c r="D513">
        <v>1030</v>
      </c>
      <c r="F513">
        <v>20.399999999999999</v>
      </c>
      <c r="H513">
        <f t="shared" si="11"/>
        <v>20.399999999999999</v>
      </c>
      <c r="K513">
        <v>160</v>
      </c>
      <c r="L513">
        <v>1</v>
      </c>
      <c r="M513" t="s">
        <v>726</v>
      </c>
      <c r="O513" t="s">
        <v>907</v>
      </c>
      <c r="P513" t="s">
        <v>908</v>
      </c>
      <c r="Q513" t="s">
        <v>909</v>
      </c>
    </row>
    <row r="514" spans="1:17" x14ac:dyDescent="0.4">
      <c r="A514" t="s">
        <v>742</v>
      </c>
      <c r="B514">
        <v>20</v>
      </c>
      <c r="C514">
        <v>0.5</v>
      </c>
      <c r="D514">
        <v>1030</v>
      </c>
      <c r="F514">
        <v>20.399999999999999</v>
      </c>
      <c r="H514">
        <f t="shared" si="11"/>
        <v>20.399999999999999</v>
      </c>
      <c r="K514">
        <v>160</v>
      </c>
      <c r="L514">
        <v>6</v>
      </c>
      <c r="M514" t="s">
        <v>726</v>
      </c>
    </row>
    <row r="515" spans="1:17" x14ac:dyDescent="0.4">
      <c r="A515" t="s">
        <v>743</v>
      </c>
      <c r="B515">
        <v>20</v>
      </c>
      <c r="C515">
        <v>0.5</v>
      </c>
      <c r="D515">
        <v>1030</v>
      </c>
      <c r="F515">
        <v>20.399999999999999</v>
      </c>
      <c r="H515">
        <f t="shared" si="11"/>
        <v>20.399999999999999</v>
      </c>
      <c r="K515">
        <v>160</v>
      </c>
      <c r="L515">
        <v>10</v>
      </c>
      <c r="M515" t="s">
        <v>726</v>
      </c>
    </row>
    <row r="516" spans="1:17" x14ac:dyDescent="0.4">
      <c r="A516" t="s">
        <v>744</v>
      </c>
      <c r="B516">
        <v>20</v>
      </c>
      <c r="C516">
        <v>0.5</v>
      </c>
      <c r="D516">
        <v>1030</v>
      </c>
      <c r="F516">
        <v>20.399999999999999</v>
      </c>
      <c r="H516">
        <f t="shared" si="11"/>
        <v>20.399999999999999</v>
      </c>
      <c r="K516">
        <v>160</v>
      </c>
      <c r="L516">
        <v>24</v>
      </c>
      <c r="M516" t="s">
        <v>726</v>
      </c>
    </row>
    <row r="517" spans="1:17" x14ac:dyDescent="0.4">
      <c r="A517" t="s">
        <v>745</v>
      </c>
      <c r="B517">
        <v>20</v>
      </c>
      <c r="C517">
        <v>0.5</v>
      </c>
      <c r="D517">
        <v>1030</v>
      </c>
      <c r="F517">
        <v>20.399999999999999</v>
      </c>
      <c r="H517">
        <f t="shared" si="11"/>
        <v>20.399999999999999</v>
      </c>
      <c r="K517">
        <v>140</v>
      </c>
      <c r="L517">
        <v>12</v>
      </c>
      <c r="M517" t="s">
        <v>726</v>
      </c>
    </row>
    <row r="518" spans="1:17" x14ac:dyDescent="0.4">
      <c r="A518" t="s">
        <v>746</v>
      </c>
      <c r="B518">
        <v>1</v>
      </c>
      <c r="C518">
        <f>B518/40</f>
        <v>2.5000000000000001E-2</v>
      </c>
      <c r="D518">
        <v>10</v>
      </c>
      <c r="E518">
        <f>0.075*2</f>
        <v>0.15</v>
      </c>
      <c r="H518">
        <f t="shared" si="11"/>
        <v>0.15</v>
      </c>
      <c r="K518">
        <v>160</v>
      </c>
      <c r="L518">
        <v>7</v>
      </c>
      <c r="M518" t="s">
        <v>726</v>
      </c>
      <c r="O518" s="17" t="s">
        <v>849</v>
      </c>
      <c r="P518" t="s">
        <v>914</v>
      </c>
      <c r="Q518" t="s">
        <v>915</v>
      </c>
    </row>
    <row r="519" spans="1:17" x14ac:dyDescent="0.4">
      <c r="A519" t="s">
        <v>747</v>
      </c>
      <c r="B519">
        <v>1</v>
      </c>
      <c r="C519">
        <f>B519/80</f>
        <v>1.2500000000000001E-2</v>
      </c>
      <c r="D519">
        <v>10</v>
      </c>
      <c r="E519">
        <f>0.175*2</f>
        <v>0.35</v>
      </c>
      <c r="H519">
        <f t="shared" si="11"/>
        <v>0.35</v>
      </c>
      <c r="K519">
        <v>160</v>
      </c>
      <c r="L519">
        <v>7</v>
      </c>
      <c r="M519" t="s">
        <v>726</v>
      </c>
      <c r="O519" s="17"/>
    </row>
    <row r="520" spans="1:17" x14ac:dyDescent="0.4">
      <c r="A520" t="s">
        <v>748</v>
      </c>
      <c r="B520">
        <v>60</v>
      </c>
      <c r="C520">
        <v>2</v>
      </c>
      <c r="D520">
        <v>3000</v>
      </c>
      <c r="F520">
        <v>10</v>
      </c>
      <c r="H520">
        <f t="shared" si="11"/>
        <v>10</v>
      </c>
      <c r="K520">
        <v>150</v>
      </c>
      <c r="L520">
        <f>7*24</f>
        <v>168</v>
      </c>
      <c r="M520" t="s">
        <v>726</v>
      </c>
      <c r="O520" s="17" t="s">
        <v>785</v>
      </c>
      <c r="P520" t="s">
        <v>916</v>
      </c>
      <c r="Q520" t="s">
        <v>917</v>
      </c>
    </row>
    <row r="521" spans="1:17" x14ac:dyDescent="0.4">
      <c r="A521" t="s">
        <v>749</v>
      </c>
      <c r="B521">
        <v>60</v>
      </c>
      <c r="C521">
        <v>2</v>
      </c>
      <c r="D521">
        <v>3000</v>
      </c>
      <c r="F521">
        <v>10</v>
      </c>
      <c r="H521">
        <f t="shared" si="11"/>
        <v>10</v>
      </c>
      <c r="K521">
        <v>150</v>
      </c>
      <c r="L521">
        <f>55.8*24</f>
        <v>1339.1999999999998</v>
      </c>
      <c r="M521" t="s">
        <v>726</v>
      </c>
    </row>
    <row r="522" spans="1:17" x14ac:dyDescent="0.4">
      <c r="A522" t="s">
        <v>750</v>
      </c>
      <c r="B522">
        <v>60</v>
      </c>
      <c r="C522">
        <v>0.5</v>
      </c>
      <c r="D522">
        <v>3000</v>
      </c>
      <c r="F522">
        <v>20</v>
      </c>
      <c r="H522">
        <f t="shared" si="11"/>
        <v>20</v>
      </c>
      <c r="K522">
        <v>150</v>
      </c>
      <c r="L522">
        <f>6.8*24</f>
        <v>163.19999999999999</v>
      </c>
      <c r="M522" t="s">
        <v>726</v>
      </c>
    </row>
    <row r="523" spans="1:17" x14ac:dyDescent="0.4">
      <c r="A523" t="s">
        <v>751</v>
      </c>
      <c r="B523">
        <v>60</v>
      </c>
      <c r="C523">
        <v>1</v>
      </c>
      <c r="D523">
        <v>3000</v>
      </c>
      <c r="F523">
        <v>26</v>
      </c>
      <c r="H523">
        <f t="shared" si="11"/>
        <v>26</v>
      </c>
      <c r="K523">
        <v>150</v>
      </c>
      <c r="L523">
        <f>6.7*24</f>
        <v>160.80000000000001</v>
      </c>
      <c r="M523" t="s">
        <v>726</v>
      </c>
    </row>
    <row r="524" spans="1:17" x14ac:dyDescent="0.4">
      <c r="A524" t="s">
        <v>752</v>
      </c>
      <c r="B524">
        <v>60</v>
      </c>
      <c r="C524">
        <v>0.6</v>
      </c>
      <c r="D524">
        <v>3000</v>
      </c>
      <c r="F524">
        <v>28</v>
      </c>
      <c r="H524">
        <f t="shared" si="11"/>
        <v>28</v>
      </c>
      <c r="K524">
        <v>150</v>
      </c>
      <c r="L524">
        <f>6.5*24</f>
        <v>156</v>
      </c>
      <c r="M524" t="s">
        <v>726</v>
      </c>
    </row>
    <row r="525" spans="1:17" x14ac:dyDescent="0.4">
      <c r="A525" t="s">
        <v>753</v>
      </c>
      <c r="B525">
        <v>60</v>
      </c>
      <c r="C525">
        <v>1.6</v>
      </c>
      <c r="D525">
        <v>3000</v>
      </c>
      <c r="F525">
        <v>30</v>
      </c>
      <c r="H525">
        <f t="shared" si="11"/>
        <v>30</v>
      </c>
      <c r="K525">
        <v>150</v>
      </c>
      <c r="L525">
        <f>3.9*24</f>
        <v>93.6</v>
      </c>
      <c r="M525" t="s">
        <v>726</v>
      </c>
    </row>
    <row r="526" spans="1:17" x14ac:dyDescent="0.4">
      <c r="A526" t="s">
        <v>754</v>
      </c>
      <c r="B526">
        <v>60</v>
      </c>
      <c r="C526">
        <v>0.66700000000000004</v>
      </c>
      <c r="D526">
        <v>3000</v>
      </c>
      <c r="F526">
        <v>34</v>
      </c>
      <c r="H526">
        <f t="shared" si="11"/>
        <v>34</v>
      </c>
      <c r="K526">
        <v>150</v>
      </c>
      <c r="L526">
        <f>6.7*2</f>
        <v>13.4</v>
      </c>
      <c r="M526" t="s">
        <v>726</v>
      </c>
    </row>
    <row r="527" spans="1:17" x14ac:dyDescent="0.4">
      <c r="A527" t="s">
        <v>755</v>
      </c>
      <c r="B527">
        <v>60</v>
      </c>
      <c r="C527">
        <v>0.33300000000000002</v>
      </c>
      <c r="D527">
        <v>3000</v>
      </c>
      <c r="F527">
        <f>18.5*2</f>
        <v>37</v>
      </c>
      <c r="H527">
        <f t="shared" si="11"/>
        <v>37</v>
      </c>
      <c r="K527">
        <v>150</v>
      </c>
      <c r="L527">
        <f>3.7*24</f>
        <v>88.800000000000011</v>
      </c>
      <c r="M527" t="s">
        <v>726</v>
      </c>
    </row>
    <row r="528" spans="1:17" x14ac:dyDescent="0.4">
      <c r="A528" t="s">
        <v>756</v>
      </c>
      <c r="B528">
        <v>1</v>
      </c>
      <c r="C528">
        <v>0.1</v>
      </c>
      <c r="D528">
        <v>25</v>
      </c>
      <c r="E528">
        <v>0.14000000000000001</v>
      </c>
      <c r="F528">
        <v>0.14000000000000001</v>
      </c>
      <c r="H528">
        <f t="shared" si="11"/>
        <v>0.28000000000000003</v>
      </c>
      <c r="K528">
        <v>150</v>
      </c>
      <c r="L528">
        <v>144</v>
      </c>
      <c r="M528" t="s">
        <v>726</v>
      </c>
      <c r="O528" s="17" t="s">
        <v>830</v>
      </c>
      <c r="P528" t="s">
        <v>918</v>
      </c>
      <c r="Q528" t="s">
        <v>919</v>
      </c>
    </row>
    <row r="529" spans="1:16" x14ac:dyDescent="0.4">
      <c r="A529" t="s">
        <v>757</v>
      </c>
      <c r="B529">
        <v>1</v>
      </c>
      <c r="C529">
        <v>0.1</v>
      </c>
      <c r="D529">
        <v>25</v>
      </c>
      <c r="E529">
        <v>0.15</v>
      </c>
      <c r="F529">
        <v>0.15</v>
      </c>
      <c r="H529">
        <f t="shared" si="11"/>
        <v>0.3</v>
      </c>
      <c r="K529">
        <v>150</v>
      </c>
      <c r="L529">
        <v>144</v>
      </c>
      <c r="M529" t="s">
        <v>726</v>
      </c>
    </row>
    <row r="530" spans="1:16" x14ac:dyDescent="0.4">
      <c r="A530" t="s">
        <v>758</v>
      </c>
      <c r="B530">
        <v>1</v>
      </c>
      <c r="C530">
        <v>0.09</v>
      </c>
      <c r="D530">
        <v>25</v>
      </c>
      <c r="F530">
        <v>0.3</v>
      </c>
      <c r="H530">
        <f t="shared" si="11"/>
        <v>0.3</v>
      </c>
      <c r="K530">
        <v>150</v>
      </c>
      <c r="L530">
        <v>144</v>
      </c>
      <c r="M530" t="s">
        <v>726</v>
      </c>
    </row>
    <row r="531" spans="1:16" x14ac:dyDescent="0.4">
      <c r="A531" t="s">
        <v>759</v>
      </c>
      <c r="B531">
        <v>1</v>
      </c>
      <c r="C531">
        <v>0.09</v>
      </c>
      <c r="D531">
        <v>25</v>
      </c>
      <c r="E531">
        <f>0.3-0.225</f>
        <v>7.4999999999999983E-2</v>
      </c>
      <c r="F531">
        <f>0.3*0.75</f>
        <v>0.22499999999999998</v>
      </c>
      <c r="H531">
        <f t="shared" si="11"/>
        <v>0.29999999999999993</v>
      </c>
      <c r="K531">
        <v>150</v>
      </c>
      <c r="L531">
        <v>144</v>
      </c>
      <c r="M531" t="s">
        <v>726</v>
      </c>
    </row>
    <row r="532" spans="1:16" x14ac:dyDescent="0.4">
      <c r="A532" t="s">
        <v>760</v>
      </c>
      <c r="B532">
        <v>10</v>
      </c>
      <c r="C532">
        <v>1</v>
      </c>
      <c r="D532">
        <v>220</v>
      </c>
      <c r="E532">
        <v>2</v>
      </c>
      <c r="K532">
        <v>150</v>
      </c>
      <c r="L532">
        <f>14*24</f>
        <v>336</v>
      </c>
      <c r="M532" t="s">
        <v>726</v>
      </c>
      <c r="N532" s="7" t="s">
        <v>920</v>
      </c>
      <c r="O532" t="s">
        <v>921</v>
      </c>
      <c r="P532" t="s">
        <v>922</v>
      </c>
    </row>
    <row r="533" spans="1:16" x14ac:dyDescent="0.4">
      <c r="A533" t="s">
        <v>761</v>
      </c>
      <c r="B533">
        <v>10</v>
      </c>
      <c r="C533">
        <v>1</v>
      </c>
      <c r="D533">
        <v>220</v>
      </c>
      <c r="E533">
        <v>2</v>
      </c>
      <c r="K533">
        <v>150</v>
      </c>
      <c r="L533">
        <f>14*24</f>
        <v>336</v>
      </c>
      <c r="M533" t="s">
        <v>726</v>
      </c>
    </row>
    <row r="534" spans="1:16" x14ac:dyDescent="0.4">
      <c r="A534" t="s">
        <v>762</v>
      </c>
      <c r="B534">
        <v>5</v>
      </c>
      <c r="C534">
        <v>1</v>
      </c>
      <c r="D534">
        <v>700</v>
      </c>
      <c r="E534">
        <v>40</v>
      </c>
      <c r="H534">
        <f t="shared" ref="H534:H549" si="12">E534+F534+G534</f>
        <v>40</v>
      </c>
      <c r="K534">
        <v>50</v>
      </c>
      <c r="L534">
        <v>58</v>
      </c>
      <c r="M534" t="s">
        <v>18</v>
      </c>
      <c r="N534" t="s">
        <v>202</v>
      </c>
      <c r="O534" t="s">
        <v>899</v>
      </c>
      <c r="P534" t="s">
        <v>900</v>
      </c>
    </row>
    <row r="535" spans="1:16" x14ac:dyDescent="0.4">
      <c r="A535" t="s">
        <v>763</v>
      </c>
      <c r="B535">
        <v>18</v>
      </c>
      <c r="C535">
        <v>1</v>
      </c>
      <c r="D535">
        <v>300</v>
      </c>
      <c r="E535">
        <v>20</v>
      </c>
      <c r="H535">
        <f t="shared" si="12"/>
        <v>20</v>
      </c>
      <c r="K535">
        <v>90</v>
      </c>
      <c r="L535">
        <v>20</v>
      </c>
      <c r="M535" t="s">
        <v>18</v>
      </c>
    </row>
    <row r="536" spans="1:16" x14ac:dyDescent="0.4">
      <c r="A536" t="s">
        <v>764</v>
      </c>
      <c r="B536">
        <v>16</v>
      </c>
      <c r="C536">
        <f>2.67/2</f>
        <v>1.335</v>
      </c>
      <c r="D536">
        <v>200</v>
      </c>
      <c r="E536">
        <v>10</v>
      </c>
      <c r="H536">
        <f t="shared" si="12"/>
        <v>10</v>
      </c>
      <c r="K536">
        <v>100</v>
      </c>
      <c r="L536">
        <v>7</v>
      </c>
      <c r="M536" t="s">
        <v>18</v>
      </c>
      <c r="N536" t="s">
        <v>901</v>
      </c>
      <c r="O536" t="s">
        <v>902</v>
      </c>
      <c r="P536" t="s">
        <v>903</v>
      </c>
    </row>
    <row r="537" spans="1:16" x14ac:dyDescent="0.4">
      <c r="A537" t="s">
        <v>765</v>
      </c>
      <c r="B537">
        <v>15</v>
      </c>
      <c r="C537">
        <v>1.25</v>
      </c>
      <c r="D537">
        <v>150</v>
      </c>
      <c r="E537">
        <v>10</v>
      </c>
      <c r="H537">
        <f t="shared" si="12"/>
        <v>10</v>
      </c>
      <c r="K537">
        <v>100</v>
      </c>
      <c r="L537">
        <v>7</v>
      </c>
      <c r="M537" t="s">
        <v>18</v>
      </c>
    </row>
    <row r="538" spans="1:16" x14ac:dyDescent="0.4">
      <c r="A538" t="s">
        <v>766</v>
      </c>
      <c r="B538">
        <v>15</v>
      </c>
      <c r="C538">
        <v>1.25</v>
      </c>
      <c r="D538">
        <v>200</v>
      </c>
      <c r="E538">
        <v>10</v>
      </c>
      <c r="H538">
        <f t="shared" si="12"/>
        <v>10</v>
      </c>
      <c r="K538">
        <v>100</v>
      </c>
      <c r="L538">
        <v>3</v>
      </c>
      <c r="M538" t="s">
        <v>18</v>
      </c>
    </row>
    <row r="539" spans="1:16" x14ac:dyDescent="0.4">
      <c r="A539" t="s">
        <v>767</v>
      </c>
      <c r="B539">
        <v>15</v>
      </c>
      <c r="C539">
        <v>1.25</v>
      </c>
      <c r="D539">
        <v>200</v>
      </c>
      <c r="E539">
        <v>10</v>
      </c>
      <c r="H539">
        <f t="shared" si="12"/>
        <v>10</v>
      </c>
      <c r="K539">
        <v>100</v>
      </c>
      <c r="L539">
        <v>8</v>
      </c>
      <c r="M539" t="s">
        <v>18</v>
      </c>
    </row>
    <row r="540" spans="1:16" x14ac:dyDescent="0.4">
      <c r="A540" t="s">
        <v>768</v>
      </c>
      <c r="B540">
        <v>15</v>
      </c>
      <c r="C540">
        <v>1.25</v>
      </c>
      <c r="D540">
        <v>200</v>
      </c>
      <c r="E540">
        <v>10</v>
      </c>
      <c r="H540">
        <f t="shared" si="12"/>
        <v>10</v>
      </c>
      <c r="K540">
        <v>100</v>
      </c>
      <c r="L540">
        <v>3</v>
      </c>
      <c r="M540" t="s">
        <v>18</v>
      </c>
    </row>
    <row r="541" spans="1:16" x14ac:dyDescent="0.4">
      <c r="A541" t="s">
        <v>769</v>
      </c>
      <c r="B541">
        <v>1</v>
      </c>
      <c r="C541">
        <f>1/11.5</f>
        <v>8.6956521739130432E-2</v>
      </c>
      <c r="D541">
        <v>20</v>
      </c>
      <c r="E541">
        <f>0.145*2</f>
        <v>0.28999999999999998</v>
      </c>
      <c r="H541">
        <f t="shared" si="12"/>
        <v>0.28999999999999998</v>
      </c>
      <c r="K541">
        <v>165</v>
      </c>
      <c r="L541">
        <v>48</v>
      </c>
      <c r="M541" t="s">
        <v>24</v>
      </c>
      <c r="N541" t="s">
        <v>904</v>
      </c>
      <c r="O541" t="s">
        <v>905</v>
      </c>
      <c r="P541" t="s">
        <v>906</v>
      </c>
    </row>
    <row r="542" spans="1:16" x14ac:dyDescent="0.4">
      <c r="A542" t="s">
        <v>770</v>
      </c>
      <c r="B542">
        <v>1</v>
      </c>
      <c r="C542">
        <f>1/16.9</f>
        <v>5.9171597633136098E-2</v>
      </c>
      <c r="D542">
        <v>20</v>
      </c>
      <c r="E542">
        <f>0.115*2</f>
        <v>0.23</v>
      </c>
      <c r="H542">
        <f t="shared" si="12"/>
        <v>0.23</v>
      </c>
      <c r="K542">
        <v>165</v>
      </c>
      <c r="L542">
        <v>48</v>
      </c>
      <c r="M542" t="s">
        <v>24</v>
      </c>
    </row>
    <row r="543" spans="1:16" x14ac:dyDescent="0.4">
      <c r="A543" t="s">
        <v>771</v>
      </c>
      <c r="B543">
        <v>1</v>
      </c>
      <c r="C543">
        <f>1/22.9</f>
        <v>4.3668122270742363E-2</v>
      </c>
      <c r="D543">
        <v>20</v>
      </c>
      <c r="E543">
        <f>0.108*2</f>
        <v>0.216</v>
      </c>
      <c r="H543">
        <f t="shared" si="12"/>
        <v>0.216</v>
      </c>
      <c r="K543">
        <v>165</v>
      </c>
      <c r="L543">
        <v>48</v>
      </c>
      <c r="M543" t="s">
        <v>24</v>
      </c>
    </row>
    <row r="544" spans="1:16" x14ac:dyDescent="0.4">
      <c r="A544" t="s">
        <v>772</v>
      </c>
      <c r="B544">
        <v>20</v>
      </c>
      <c r="C544">
        <v>0.5</v>
      </c>
      <c r="D544">
        <v>1030</v>
      </c>
      <c r="F544">
        <v>20.399999999999999</v>
      </c>
      <c r="H544">
        <f t="shared" si="12"/>
        <v>20.399999999999999</v>
      </c>
      <c r="K544">
        <v>180</v>
      </c>
      <c r="L544">
        <v>12</v>
      </c>
      <c r="M544" t="s">
        <v>28</v>
      </c>
      <c r="N544" t="s">
        <v>907</v>
      </c>
      <c r="O544" t="s">
        <v>908</v>
      </c>
      <c r="P544" t="s">
        <v>909</v>
      </c>
    </row>
    <row r="545" spans="1:13" x14ac:dyDescent="0.4">
      <c r="A545" t="s">
        <v>773</v>
      </c>
      <c r="B545">
        <v>20</v>
      </c>
      <c r="C545">
        <v>0.5</v>
      </c>
      <c r="D545">
        <v>1030</v>
      </c>
      <c r="F545">
        <v>20.399999999999999</v>
      </c>
      <c r="H545">
        <f t="shared" si="12"/>
        <v>20.399999999999999</v>
      </c>
      <c r="K545">
        <v>180</v>
      </c>
      <c r="L545">
        <v>24</v>
      </c>
      <c r="M545" t="s">
        <v>28</v>
      </c>
    </row>
    <row r="546" spans="1:13" x14ac:dyDescent="0.4">
      <c r="A546" t="s">
        <v>774</v>
      </c>
      <c r="B546">
        <v>20</v>
      </c>
      <c r="C546">
        <v>0.5</v>
      </c>
      <c r="D546">
        <v>1030</v>
      </c>
      <c r="F546">
        <v>20.399999999999999</v>
      </c>
      <c r="H546">
        <f t="shared" si="12"/>
        <v>20.399999999999999</v>
      </c>
      <c r="K546">
        <v>140</v>
      </c>
      <c r="L546">
        <v>72</v>
      </c>
      <c r="M546" t="s">
        <v>28</v>
      </c>
    </row>
    <row r="547" spans="1:13" x14ac:dyDescent="0.4">
      <c r="A547" t="s">
        <v>775</v>
      </c>
      <c r="B547">
        <v>20</v>
      </c>
      <c r="C547">
        <v>0.5</v>
      </c>
      <c r="D547">
        <v>1030</v>
      </c>
      <c r="F547">
        <v>20.399999999999999</v>
      </c>
      <c r="H547">
        <f t="shared" si="12"/>
        <v>20.399999999999999</v>
      </c>
      <c r="K547">
        <v>140</v>
      </c>
      <c r="L547">
        <v>36</v>
      </c>
      <c r="M547" t="s">
        <v>28</v>
      </c>
    </row>
    <row r="548" spans="1:13" x14ac:dyDescent="0.4">
      <c r="A548" t="s">
        <v>776</v>
      </c>
      <c r="B548">
        <v>20</v>
      </c>
      <c r="C548">
        <v>0.5</v>
      </c>
      <c r="D548">
        <v>1030</v>
      </c>
      <c r="F548">
        <v>20.399999999999999</v>
      </c>
      <c r="H548">
        <f t="shared" si="12"/>
        <v>20.399999999999999</v>
      </c>
      <c r="K548">
        <v>160</v>
      </c>
      <c r="L548">
        <v>16</v>
      </c>
      <c r="M548" t="s">
        <v>28</v>
      </c>
    </row>
    <row r="549" spans="1:13" x14ac:dyDescent="0.4">
      <c r="A549" t="s">
        <v>777</v>
      </c>
      <c r="B549">
        <v>20</v>
      </c>
      <c r="C549">
        <v>0.5</v>
      </c>
      <c r="D549">
        <v>1030</v>
      </c>
      <c r="F549">
        <v>20.399999999999999</v>
      </c>
      <c r="H549">
        <f t="shared" si="12"/>
        <v>20.399999999999999</v>
      </c>
      <c r="K549">
        <v>160</v>
      </c>
      <c r="L549">
        <v>36</v>
      </c>
      <c r="M549" t="s">
        <v>28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石田　陽希</dc:creator>
  <cp:lastModifiedBy>石田　陽希</cp:lastModifiedBy>
  <dcterms:created xsi:type="dcterms:W3CDTF">2024-11-14T05:39:36Z</dcterms:created>
  <dcterms:modified xsi:type="dcterms:W3CDTF">2026-01-21T03:18:17Z</dcterms:modified>
</cp:coreProperties>
</file>